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myZ1k\Desktop\itmo\Infa 1\lab\lab5\"/>
    </mc:Choice>
  </mc:AlternateContent>
  <xr:revisionPtr revIDLastSave="0" documentId="13_ncr:1_{4922E1F1-62D2-4FDA-B489-516DBE44A88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H55" i="1"/>
  <c r="H47" i="1"/>
  <c r="H39" i="1"/>
  <c r="H31" i="1"/>
  <c r="H23" i="1"/>
  <c r="G11" i="1"/>
  <c r="H11" i="1"/>
  <c r="I11" i="1"/>
  <c r="J11" i="1"/>
  <c r="K11" i="1"/>
  <c r="L11" i="1"/>
  <c r="M11" i="1"/>
  <c r="N11" i="1"/>
  <c r="O11" i="1"/>
  <c r="P11" i="1"/>
  <c r="P43" i="1" s="1"/>
  <c r="Q11" i="1"/>
  <c r="R11" i="1"/>
  <c r="S11" i="1"/>
  <c r="T11" i="1"/>
  <c r="U11" i="1"/>
  <c r="V11" i="1"/>
  <c r="W11" i="1"/>
  <c r="X11" i="1"/>
  <c r="Y11" i="1"/>
  <c r="G12" i="1"/>
  <c r="H12" i="1"/>
  <c r="I12" i="1"/>
  <c r="J12" i="1"/>
  <c r="K12" i="1"/>
  <c r="K51" i="1" s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U66" i="1" s="1"/>
  <c r="V14" i="1"/>
  <c r="W14" i="1"/>
  <c r="X14" i="1"/>
  <c r="Y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G10" i="1"/>
  <c r="L51" i="1"/>
  <c r="U51" i="1"/>
  <c r="Y65" i="1"/>
  <c r="Y57" i="1"/>
  <c r="Y49" i="1"/>
  <c r="Y41" i="1"/>
  <c r="Y33" i="1"/>
  <c r="Y25" i="1"/>
  <c r="Y17" i="1"/>
  <c r="K5" i="1"/>
  <c r="K26" i="1" s="1"/>
  <c r="P5" i="1"/>
  <c r="P34" i="1" s="1"/>
  <c r="U5" i="1"/>
  <c r="U34" i="1" s="1"/>
  <c r="W5" i="1"/>
  <c r="W26" i="1" s="1"/>
  <c r="K6" i="1"/>
  <c r="K67" i="1" s="1"/>
  <c r="P6" i="1"/>
  <c r="P27" i="1" s="1"/>
  <c r="P29" i="1" s="1"/>
  <c r="U6" i="1"/>
  <c r="U27" i="1" s="1"/>
  <c r="U29" i="1" s="1"/>
  <c r="K7" i="1"/>
  <c r="P7" i="1"/>
  <c r="U7" i="1"/>
  <c r="K8" i="1"/>
  <c r="N8" i="1"/>
  <c r="P8" i="1"/>
  <c r="S8" i="1"/>
  <c r="U8" i="1"/>
  <c r="K9" i="1"/>
  <c r="P9" i="1"/>
  <c r="U9" i="1"/>
  <c r="K42" i="1"/>
  <c r="P42" i="1"/>
  <c r="U42" i="1"/>
  <c r="G59" i="1"/>
  <c r="I43" i="1"/>
  <c r="K43" i="1"/>
  <c r="U43" i="1"/>
  <c r="P51" i="1"/>
  <c r="K66" i="1"/>
  <c r="P66" i="1"/>
  <c r="K4" i="1"/>
  <c r="K58" i="1" s="1"/>
  <c r="P4" i="1"/>
  <c r="P18" i="1" s="1"/>
  <c r="U4" i="1"/>
  <c r="U58" i="1" s="1"/>
  <c r="C8" i="1"/>
  <c r="C14" i="1" s="1"/>
  <c r="AB66" i="1" s="1"/>
  <c r="C7" i="1"/>
  <c r="C13" i="1" s="1"/>
  <c r="AB27" i="1" s="1"/>
  <c r="C6" i="1"/>
  <c r="C12" i="1" s="1"/>
  <c r="AB51" i="1" s="1"/>
  <c r="C5" i="1"/>
  <c r="C11" i="1" s="1"/>
  <c r="AB50" i="1" s="1"/>
  <c r="C4" i="1"/>
  <c r="C10" i="1" s="1"/>
  <c r="N4" i="1" l="1"/>
  <c r="N58" i="1" s="1"/>
  <c r="M4" i="1"/>
  <c r="M58" i="1" s="1"/>
  <c r="X59" i="1"/>
  <c r="L4" i="1"/>
  <c r="L58" i="1" s="1"/>
  <c r="W43" i="1"/>
  <c r="S35" i="1"/>
  <c r="X51" i="1"/>
  <c r="V43" i="1"/>
  <c r="Q35" i="1"/>
  <c r="J4" i="1"/>
  <c r="J58" i="1" s="1"/>
  <c r="V51" i="1"/>
  <c r="I8" i="1"/>
  <c r="G4" i="1"/>
  <c r="G18" i="1" s="1"/>
  <c r="I4" i="1"/>
  <c r="I58" i="1" s="1"/>
  <c r="S43" i="1"/>
  <c r="G8" i="1"/>
  <c r="Y4" i="1"/>
  <c r="Y58" i="1" s="1"/>
  <c r="S51" i="1"/>
  <c r="Q43" i="1"/>
  <c r="G42" i="1"/>
  <c r="X4" i="1"/>
  <c r="X58" i="1" s="1"/>
  <c r="Q51" i="1"/>
  <c r="W4" i="1"/>
  <c r="W58" i="1" s="1"/>
  <c r="O50" i="1"/>
  <c r="V4" i="1"/>
  <c r="V58" i="1" s="1"/>
  <c r="O51" i="1"/>
  <c r="N59" i="1"/>
  <c r="N51" i="1"/>
  <c r="W8" i="1"/>
  <c r="Q66" i="1"/>
  <c r="O66" i="1"/>
  <c r="N66" i="1"/>
  <c r="M66" i="1"/>
  <c r="Y66" i="1"/>
  <c r="L66" i="1"/>
  <c r="X66" i="1"/>
  <c r="W66" i="1"/>
  <c r="J66" i="1"/>
  <c r="V66" i="1"/>
  <c r="H66" i="1"/>
  <c r="L59" i="1"/>
  <c r="T66" i="1"/>
  <c r="J51" i="1"/>
  <c r="R66" i="1"/>
  <c r="G51" i="1"/>
  <c r="J43" i="1"/>
  <c r="O42" i="1"/>
  <c r="O35" i="1"/>
  <c r="AB53" i="1"/>
  <c r="W7" i="1"/>
  <c r="T4" i="1"/>
  <c r="H4" i="1"/>
  <c r="I66" i="1"/>
  <c r="W51" i="1"/>
  <c r="O8" i="1"/>
  <c r="V7" i="1"/>
  <c r="J7" i="1"/>
  <c r="Q6" i="1"/>
  <c r="X5" i="1"/>
  <c r="L5" i="1"/>
  <c r="U19" i="1"/>
  <c r="U21" i="1" s="1"/>
  <c r="U26" i="1"/>
  <c r="P35" i="1"/>
  <c r="W34" i="1"/>
  <c r="K34" i="1"/>
  <c r="G50" i="1"/>
  <c r="N50" i="1"/>
  <c r="P58" i="1"/>
  <c r="K59" i="1"/>
  <c r="U67" i="1"/>
  <c r="I7" i="1"/>
  <c r="N18" i="1"/>
  <c r="S42" i="1"/>
  <c r="G43" i="1"/>
  <c r="N43" i="1"/>
  <c r="V59" i="1"/>
  <c r="J59" i="1"/>
  <c r="R4" i="1"/>
  <c r="S66" i="1"/>
  <c r="G66" i="1"/>
  <c r="I51" i="1"/>
  <c r="Y8" i="1"/>
  <c r="M8" i="1"/>
  <c r="T7" i="1"/>
  <c r="H7" i="1"/>
  <c r="O6" i="1"/>
  <c r="V5" i="1"/>
  <c r="J5" i="1"/>
  <c r="M18" i="1"/>
  <c r="X50" i="1"/>
  <c r="L50" i="1"/>
  <c r="G58" i="1"/>
  <c r="U59" i="1"/>
  <c r="I59" i="1"/>
  <c r="S4" i="1"/>
  <c r="Q4" i="1"/>
  <c r="T51" i="1"/>
  <c r="H51" i="1"/>
  <c r="X8" i="1"/>
  <c r="L8" i="1"/>
  <c r="S7" i="1"/>
  <c r="G7" i="1"/>
  <c r="N6" i="1"/>
  <c r="I5" i="1"/>
  <c r="X18" i="1"/>
  <c r="X43" i="1"/>
  <c r="K50" i="1"/>
  <c r="R7" i="1"/>
  <c r="Y6" i="1"/>
  <c r="M6" i="1"/>
  <c r="T5" i="1"/>
  <c r="H5" i="1"/>
  <c r="W18" i="1"/>
  <c r="K18" i="1"/>
  <c r="K27" i="1"/>
  <c r="K29" i="1" s="1"/>
  <c r="AB34" i="1"/>
  <c r="S59" i="1"/>
  <c r="AB58" i="1"/>
  <c r="AB61" i="1" s="1"/>
  <c r="O4" i="1"/>
  <c r="R51" i="1"/>
  <c r="V8" i="1"/>
  <c r="J8" i="1"/>
  <c r="Q7" i="1"/>
  <c r="X6" i="1"/>
  <c r="L6" i="1"/>
  <c r="S5" i="1"/>
  <c r="G5" i="1"/>
  <c r="P19" i="1"/>
  <c r="P21" i="1" s="1"/>
  <c r="V18" i="1"/>
  <c r="J18" i="1"/>
  <c r="P26" i="1"/>
  <c r="K35" i="1"/>
  <c r="AB35" i="1"/>
  <c r="U50" i="1"/>
  <c r="I50" i="1"/>
  <c r="AB59" i="1"/>
  <c r="P67" i="1"/>
  <c r="W6" i="1"/>
  <c r="R5" i="1"/>
  <c r="U18" i="1"/>
  <c r="I18" i="1"/>
  <c r="Q59" i="1"/>
  <c r="T8" i="1"/>
  <c r="H8" i="1"/>
  <c r="O7" i="1"/>
  <c r="V6" i="1"/>
  <c r="J6" i="1"/>
  <c r="Q5" i="1"/>
  <c r="U35" i="1"/>
  <c r="S50" i="1"/>
  <c r="P59" i="1"/>
  <c r="N7" i="1"/>
  <c r="I6" i="1"/>
  <c r="AB42" i="1"/>
  <c r="AB45" i="1" s="1"/>
  <c r="R8" i="1"/>
  <c r="Y7" i="1"/>
  <c r="M7" i="1"/>
  <c r="T6" i="1"/>
  <c r="H6" i="1"/>
  <c r="O5" i="1"/>
  <c r="AB18" i="1"/>
  <c r="AB26" i="1"/>
  <c r="AB29" i="1" s="1"/>
  <c r="AB43" i="1"/>
  <c r="Q50" i="1"/>
  <c r="AB67" i="1"/>
  <c r="AB69" i="1" s="1"/>
  <c r="Y51" i="1"/>
  <c r="M51" i="1"/>
  <c r="Q8" i="1"/>
  <c r="X7" i="1"/>
  <c r="L7" i="1"/>
  <c r="S6" i="1"/>
  <c r="G6" i="1"/>
  <c r="N5" i="1"/>
  <c r="W19" i="1"/>
  <c r="K19" i="1"/>
  <c r="K21" i="1" s="1"/>
  <c r="AB19" i="1"/>
  <c r="P50" i="1"/>
  <c r="R6" i="1"/>
  <c r="Y5" i="1"/>
  <c r="M5" i="1"/>
  <c r="C9" i="1"/>
  <c r="O43" i="1" l="1"/>
  <c r="V50" i="1"/>
  <c r="W50" i="1"/>
  <c r="Q42" i="1"/>
  <c r="W59" i="1"/>
  <c r="G35" i="1"/>
  <c r="O59" i="1"/>
  <c r="L18" i="1"/>
  <c r="Y18" i="1"/>
  <c r="AB37" i="1"/>
  <c r="L43" i="1"/>
  <c r="J50" i="1"/>
  <c r="Q34" i="1"/>
  <c r="Q26" i="1"/>
  <c r="Q19" i="1"/>
  <c r="H43" i="1"/>
  <c r="H50" i="1"/>
  <c r="H59" i="1"/>
  <c r="X67" i="1"/>
  <c r="X27" i="1"/>
  <c r="S58" i="1"/>
  <c r="S18" i="1"/>
  <c r="T43" i="1"/>
  <c r="T50" i="1"/>
  <c r="T59" i="1"/>
  <c r="J42" i="1"/>
  <c r="J35" i="1"/>
  <c r="V42" i="1"/>
  <c r="V35" i="1"/>
  <c r="T58" i="1"/>
  <c r="T18" i="1"/>
  <c r="L67" i="1"/>
  <c r="L27" i="1"/>
  <c r="R43" i="1"/>
  <c r="R50" i="1"/>
  <c r="R59" i="1"/>
  <c r="J67" i="1"/>
  <c r="J27" i="1"/>
  <c r="I42" i="1"/>
  <c r="I35" i="1"/>
  <c r="R35" i="1"/>
  <c r="R42" i="1"/>
  <c r="T35" i="1"/>
  <c r="T42" i="1"/>
  <c r="Q27" i="1"/>
  <c r="Q67" i="1"/>
  <c r="N42" i="1"/>
  <c r="N35" i="1"/>
  <c r="N34" i="1"/>
  <c r="N26" i="1"/>
  <c r="N19" i="1"/>
  <c r="I27" i="1"/>
  <c r="I67" i="1"/>
  <c r="M59" i="1"/>
  <c r="M43" i="1"/>
  <c r="M50" i="1"/>
  <c r="Y59" i="1"/>
  <c r="Y43" i="1"/>
  <c r="Y50" i="1"/>
  <c r="X49" i="1" s="1"/>
  <c r="X53" i="1" s="1"/>
  <c r="R58" i="1"/>
  <c r="R18" i="1"/>
  <c r="S27" i="1"/>
  <c r="S67" i="1"/>
  <c r="I34" i="1"/>
  <c r="I26" i="1"/>
  <c r="I19" i="1"/>
  <c r="AB21" i="1"/>
  <c r="R34" i="1"/>
  <c r="R26" i="1"/>
  <c r="R19" i="1"/>
  <c r="G34" i="1"/>
  <c r="G19" i="1"/>
  <c r="G26" i="1"/>
  <c r="M67" i="1"/>
  <c r="M27" i="1"/>
  <c r="N67" i="1"/>
  <c r="N27" i="1"/>
  <c r="L42" i="1"/>
  <c r="L35" i="1"/>
  <c r="O67" i="1"/>
  <c r="O27" i="1"/>
  <c r="M42" i="1"/>
  <c r="M35" i="1"/>
  <c r="M34" i="1"/>
  <c r="M26" i="1"/>
  <c r="M19" i="1"/>
  <c r="H27" i="1"/>
  <c r="H67" i="1"/>
  <c r="Y34" i="1"/>
  <c r="X33" i="1" s="1"/>
  <c r="Y26" i="1"/>
  <c r="Y19" i="1"/>
  <c r="T27" i="1"/>
  <c r="T67" i="1"/>
  <c r="R27" i="1"/>
  <c r="R67" i="1"/>
  <c r="V67" i="1"/>
  <c r="V27" i="1"/>
  <c r="W42" i="1"/>
  <c r="W35" i="1"/>
  <c r="H58" i="1"/>
  <c r="H18" i="1"/>
  <c r="L34" i="1"/>
  <c r="L26" i="1"/>
  <c r="L19" i="1"/>
  <c r="H35" i="1"/>
  <c r="H42" i="1"/>
  <c r="X34" i="1"/>
  <c r="X26" i="1"/>
  <c r="X19" i="1"/>
  <c r="C15" i="1"/>
  <c r="J9" i="1"/>
  <c r="V9" i="1"/>
  <c r="W9" i="1"/>
  <c r="M9" i="1"/>
  <c r="Y9" i="1"/>
  <c r="O9" i="1"/>
  <c r="Q9" i="1"/>
  <c r="G9" i="1"/>
  <c r="S9" i="1"/>
  <c r="L9" i="1"/>
  <c r="X9" i="1"/>
  <c r="N9" i="1"/>
  <c r="R9" i="1"/>
  <c r="H9" i="1"/>
  <c r="T9" i="1"/>
  <c r="I9" i="1"/>
  <c r="G67" i="1"/>
  <c r="G27" i="1"/>
  <c r="H34" i="1"/>
  <c r="H26" i="1"/>
  <c r="H19" i="1"/>
  <c r="J26" i="1"/>
  <c r="J19" i="1"/>
  <c r="J34" i="1"/>
  <c r="T34" i="1"/>
  <c r="T26" i="1"/>
  <c r="T19" i="1"/>
  <c r="Q58" i="1"/>
  <c r="Q18" i="1"/>
  <c r="V26" i="1"/>
  <c r="V19" i="1"/>
  <c r="V34" i="1"/>
  <c r="O34" i="1"/>
  <c r="O26" i="1"/>
  <c r="O19" i="1"/>
  <c r="W67" i="1"/>
  <c r="W27" i="1"/>
  <c r="S34" i="1"/>
  <c r="S26" i="1"/>
  <c r="S19" i="1"/>
  <c r="O58" i="1"/>
  <c r="O18" i="1"/>
  <c r="Y67" i="1"/>
  <c r="Y27" i="1"/>
  <c r="X42" i="1"/>
  <c r="X35" i="1"/>
  <c r="Y42" i="1"/>
  <c r="Y35" i="1"/>
  <c r="W33" i="1" l="1"/>
  <c r="V33" i="1" s="1"/>
  <c r="U33" i="1" s="1"/>
  <c r="U37" i="1" s="1"/>
  <c r="Y21" i="1"/>
  <c r="W49" i="1"/>
  <c r="V49" i="1" s="1"/>
  <c r="V53" i="1" s="1"/>
  <c r="V37" i="1"/>
  <c r="W53" i="1"/>
  <c r="X37" i="1"/>
  <c r="W37" i="1"/>
  <c r="V25" i="1"/>
  <c r="V29" i="1" s="1"/>
  <c r="Y37" i="1"/>
  <c r="X17" i="1"/>
  <c r="W17" i="1" s="1"/>
  <c r="X41" i="1"/>
  <c r="X45" i="1" s="1"/>
  <c r="Y45" i="1"/>
  <c r="Y53" i="1"/>
  <c r="X25" i="1"/>
  <c r="W25" i="1" s="1"/>
  <c r="W29" i="1" s="1"/>
  <c r="Y29" i="1"/>
  <c r="U49" i="1"/>
  <c r="T49" i="1" l="1"/>
  <c r="U53" i="1"/>
  <c r="L39" i="1"/>
  <c r="T33" i="1"/>
  <c r="U25" i="1"/>
  <c r="L31" i="1"/>
  <c r="T25" i="1"/>
  <c r="X29" i="1"/>
  <c r="V17" i="1"/>
  <c r="W21" i="1"/>
  <c r="W41" i="1"/>
  <c r="X21" i="1"/>
  <c r="L55" i="1"/>
  <c r="T53" i="1"/>
  <c r="S49" i="1"/>
  <c r="T37" i="1" l="1"/>
  <c r="S33" i="1"/>
  <c r="W45" i="1"/>
  <c r="V41" i="1"/>
  <c r="U17" i="1"/>
  <c r="V21" i="1"/>
  <c r="T29" i="1"/>
  <c r="S25" i="1"/>
  <c r="S53" i="1"/>
  <c r="R49" i="1"/>
  <c r="R33" i="1" l="1"/>
  <c r="S37" i="1"/>
  <c r="R25" i="1"/>
  <c r="S29" i="1"/>
  <c r="T17" i="1"/>
  <c r="L23" i="1"/>
  <c r="V45" i="1"/>
  <c r="U41" i="1"/>
  <c r="U45" i="1" s="1"/>
  <c r="R53" i="1"/>
  <c r="Q49" i="1"/>
  <c r="Q33" i="1" l="1"/>
  <c r="R37" i="1"/>
  <c r="R29" i="1"/>
  <c r="Q25" i="1"/>
  <c r="T41" i="1"/>
  <c r="L47" i="1"/>
  <c r="S17" i="1"/>
  <c r="T21" i="1"/>
  <c r="Q53" i="1"/>
  <c r="P49" i="1"/>
  <c r="O49" i="1" l="1"/>
  <c r="P53" i="1"/>
  <c r="Q37" i="1"/>
  <c r="P33" i="1"/>
  <c r="P25" i="1"/>
  <c r="O25" i="1" s="1"/>
  <c r="Q29" i="1"/>
  <c r="R17" i="1"/>
  <c r="S21" i="1"/>
  <c r="T45" i="1"/>
  <c r="S41" i="1"/>
  <c r="N49" i="1"/>
  <c r="O53" i="1"/>
  <c r="O33" i="1" l="1"/>
  <c r="O37" i="1" s="1"/>
  <c r="P37" i="1"/>
  <c r="N33" i="1"/>
  <c r="O29" i="1"/>
  <c r="N25" i="1"/>
  <c r="S45" i="1"/>
  <c r="R41" i="1"/>
  <c r="Q17" i="1"/>
  <c r="R21" i="1"/>
  <c r="M49" i="1"/>
  <c r="N53" i="1"/>
  <c r="M33" i="1" l="1"/>
  <c r="N37" i="1"/>
  <c r="P17" i="1"/>
  <c r="O17" i="1" s="1"/>
  <c r="Q21" i="1"/>
  <c r="Q41" i="1"/>
  <c r="R45" i="1"/>
  <c r="M25" i="1"/>
  <c r="N29" i="1"/>
  <c r="L49" i="1"/>
  <c r="M53" i="1"/>
  <c r="M37" i="1" l="1"/>
  <c r="L33" i="1"/>
  <c r="L25" i="1"/>
  <c r="M29" i="1"/>
  <c r="Q45" i="1"/>
  <c r="P41" i="1"/>
  <c r="N17" i="1"/>
  <c r="O21" i="1"/>
  <c r="K49" i="1"/>
  <c r="L53" i="1"/>
  <c r="J49" i="1" l="1"/>
  <c r="K53" i="1"/>
  <c r="O41" i="1"/>
  <c r="P45" i="1"/>
  <c r="L37" i="1"/>
  <c r="K33" i="1"/>
  <c r="M17" i="1"/>
  <c r="N21" i="1"/>
  <c r="N41" i="1"/>
  <c r="O45" i="1"/>
  <c r="L29" i="1"/>
  <c r="K25" i="1"/>
  <c r="J25" i="1" s="1"/>
  <c r="I49" i="1"/>
  <c r="J53" i="1"/>
  <c r="J33" i="1" l="1"/>
  <c r="I33" i="1" s="1"/>
  <c r="K37" i="1"/>
  <c r="J37" i="1"/>
  <c r="J29" i="1"/>
  <c r="I25" i="1"/>
  <c r="N45" i="1"/>
  <c r="M41" i="1"/>
  <c r="L17" i="1"/>
  <c r="M21" i="1"/>
  <c r="I53" i="1"/>
  <c r="H49" i="1"/>
  <c r="H33" i="1" l="1"/>
  <c r="I37" i="1"/>
  <c r="I29" i="1"/>
  <c r="H25" i="1"/>
  <c r="K17" i="1"/>
  <c r="J17" i="1" s="1"/>
  <c r="L21" i="1"/>
  <c r="M45" i="1"/>
  <c r="L41" i="1"/>
  <c r="H53" i="1"/>
  <c r="G49" i="1"/>
  <c r="G33" i="1" l="1"/>
  <c r="H37" i="1"/>
  <c r="F49" i="1"/>
  <c r="R55" i="1" s="1"/>
  <c r="L45" i="1"/>
  <c r="K41" i="1"/>
  <c r="I17" i="1"/>
  <c r="J21" i="1"/>
  <c r="G25" i="1"/>
  <c r="H29" i="1"/>
  <c r="G53" i="1"/>
  <c r="J41" i="1" l="1"/>
  <c r="I41" i="1" s="1"/>
  <c r="I45" i="1" s="1"/>
  <c r="K45" i="1"/>
  <c r="G37" i="1"/>
  <c r="F33" i="1"/>
  <c r="R39" i="1" s="1"/>
  <c r="F25" i="1"/>
  <c r="R31" i="1" s="1"/>
  <c r="G29" i="1"/>
  <c r="H17" i="1"/>
  <c r="I21" i="1"/>
  <c r="AD50" i="1"/>
  <c r="Y61" i="1"/>
  <c r="X57" i="1"/>
  <c r="W57" i="1" s="1"/>
  <c r="S54" i="1"/>
  <c r="G54" i="1"/>
  <c r="P55" i="1"/>
  <c r="R54" i="1"/>
  <c r="Q54" i="1"/>
  <c r="P54" i="1"/>
  <c r="J55" i="1"/>
  <c r="O54" i="1"/>
  <c r="N54" i="1"/>
  <c r="Y54" i="1"/>
  <c r="M54" i="1"/>
  <c r="X54" i="1"/>
  <c r="L54" i="1"/>
  <c r="W54" i="1"/>
  <c r="K54" i="1"/>
  <c r="V54" i="1"/>
  <c r="J54" i="1"/>
  <c r="U54" i="1"/>
  <c r="I54" i="1"/>
  <c r="T54" i="1"/>
  <c r="H54" i="1"/>
  <c r="Z52" i="1" s="1"/>
  <c r="N55" i="1" s="1"/>
  <c r="H41" i="1"/>
  <c r="J45" i="1" l="1"/>
  <c r="X38" i="1"/>
  <c r="L38" i="1"/>
  <c r="P39" i="1"/>
  <c r="K38" i="1"/>
  <c r="J38" i="1"/>
  <c r="P38" i="1"/>
  <c r="U38" i="1"/>
  <c r="O38" i="1"/>
  <c r="I38" i="1"/>
  <c r="N38" i="1"/>
  <c r="Y38" i="1"/>
  <c r="M38" i="1"/>
  <c r="S38" i="1"/>
  <c r="G38" i="1"/>
  <c r="W38" i="1"/>
  <c r="R38" i="1"/>
  <c r="V38" i="1"/>
  <c r="Q38" i="1"/>
  <c r="J39" i="1"/>
  <c r="T38" i="1"/>
  <c r="H38" i="1"/>
  <c r="Z36" i="1" s="1"/>
  <c r="N39" i="1" s="1"/>
  <c r="AD34" i="1"/>
  <c r="AD26" i="1"/>
  <c r="G17" i="1"/>
  <c r="H21" i="1"/>
  <c r="G30" i="1"/>
  <c r="L30" i="1"/>
  <c r="P31" i="1"/>
  <c r="W30" i="1"/>
  <c r="R30" i="1"/>
  <c r="K30" i="1"/>
  <c r="Q30" i="1"/>
  <c r="V30" i="1"/>
  <c r="P30" i="1"/>
  <c r="J30" i="1"/>
  <c r="J31" i="1"/>
  <c r="H30" i="1"/>
  <c r="O30" i="1"/>
  <c r="U30" i="1"/>
  <c r="N30" i="1"/>
  <c r="I30" i="1"/>
  <c r="Y30" i="1"/>
  <c r="M30" i="1"/>
  <c r="T30" i="1"/>
  <c r="S30" i="1"/>
  <c r="X30" i="1"/>
  <c r="X61" i="1"/>
  <c r="W61" i="1"/>
  <c r="V57" i="1"/>
  <c r="G41" i="1"/>
  <c r="H45" i="1"/>
  <c r="F41" i="1" l="1"/>
  <c r="R47" i="1" s="1"/>
  <c r="Z28" i="1"/>
  <c r="N31" i="1" s="1"/>
  <c r="F17" i="1"/>
  <c r="R23" i="1" s="1"/>
  <c r="AD18" i="1" s="1"/>
  <c r="G21" i="1"/>
  <c r="U57" i="1"/>
  <c r="U61" i="1" s="1"/>
  <c r="V61" i="1"/>
  <c r="G45" i="1"/>
  <c r="AD42" i="1" l="1"/>
  <c r="P23" i="1"/>
  <c r="Z20" i="1"/>
  <c r="N23" i="1" s="1"/>
  <c r="J23" i="1"/>
  <c r="T57" i="1"/>
  <c r="S57" i="1" s="1"/>
  <c r="L63" i="1"/>
  <c r="S46" i="1"/>
  <c r="G46" i="1"/>
  <c r="Q46" i="1"/>
  <c r="J47" i="1"/>
  <c r="M46" i="1"/>
  <c r="X46" i="1"/>
  <c r="K46" i="1"/>
  <c r="K69" i="1" s="1"/>
  <c r="V46" i="1"/>
  <c r="U46" i="1"/>
  <c r="U69" i="1" s="1"/>
  <c r="T46" i="1"/>
  <c r="P47" i="1"/>
  <c r="R46" i="1"/>
  <c r="P46" i="1"/>
  <c r="P69" i="1" s="1"/>
  <c r="O46" i="1"/>
  <c r="N46" i="1"/>
  <c r="Y46" i="1"/>
  <c r="L46" i="1"/>
  <c r="W46" i="1"/>
  <c r="J46" i="1"/>
  <c r="I46" i="1"/>
  <c r="H46" i="1"/>
  <c r="T61" i="1" l="1"/>
  <c r="Z44" i="1"/>
  <c r="N47" i="1" s="1"/>
  <c r="Y69" i="1"/>
  <c r="X65" i="1"/>
  <c r="W65" i="1" s="1"/>
  <c r="W69" i="1" s="1"/>
  <c r="R57" i="1"/>
  <c r="S61" i="1"/>
  <c r="X69" i="1" l="1"/>
  <c r="V65" i="1"/>
  <c r="Q57" i="1"/>
  <c r="R61" i="1"/>
  <c r="V69" i="1" l="1"/>
  <c r="U65" i="1"/>
  <c r="P57" i="1"/>
  <c r="Q61" i="1"/>
  <c r="L71" i="1" l="1"/>
  <c r="T65" i="1"/>
  <c r="O57" i="1"/>
  <c r="P61" i="1"/>
  <c r="T69" i="1" l="1"/>
  <c r="S65" i="1"/>
  <c r="N57" i="1"/>
  <c r="O61" i="1"/>
  <c r="S69" i="1" l="1"/>
  <c r="R65" i="1"/>
  <c r="M57" i="1"/>
  <c r="N61" i="1"/>
  <c r="R69" i="1" l="1"/>
  <c r="Q65" i="1"/>
  <c r="L57" i="1"/>
  <c r="M61" i="1"/>
  <c r="P65" i="1" l="1"/>
  <c r="O65" i="1" s="1"/>
  <c r="Q69" i="1"/>
  <c r="K57" i="1"/>
  <c r="L61" i="1"/>
  <c r="O69" i="1" l="1"/>
  <c r="N65" i="1"/>
  <c r="J57" i="1"/>
  <c r="K61" i="1"/>
  <c r="M65" i="1" l="1"/>
  <c r="N69" i="1"/>
  <c r="I57" i="1"/>
  <c r="J61" i="1"/>
  <c r="M69" i="1" l="1"/>
  <c r="L65" i="1"/>
  <c r="H57" i="1"/>
  <c r="I61" i="1"/>
  <c r="L69" i="1" l="1"/>
  <c r="K65" i="1"/>
  <c r="J65" i="1" s="1"/>
  <c r="G57" i="1"/>
  <c r="H61" i="1"/>
  <c r="F57" i="1" l="1"/>
  <c r="R63" i="1" s="1"/>
  <c r="J69" i="1"/>
  <c r="I65" i="1"/>
  <c r="G61" i="1"/>
  <c r="H63" i="1"/>
  <c r="AD58" i="1" l="1"/>
  <c r="I69" i="1"/>
  <c r="H65" i="1"/>
  <c r="Y62" i="1"/>
  <c r="H62" i="1"/>
  <c r="L62" i="1"/>
  <c r="W62" i="1"/>
  <c r="K62" i="1"/>
  <c r="J62" i="1"/>
  <c r="J63" i="1"/>
  <c r="M62" i="1"/>
  <c r="X62" i="1"/>
  <c r="S62" i="1"/>
  <c r="P63" i="1"/>
  <c r="R62" i="1"/>
  <c r="Q62" i="1"/>
  <c r="O62" i="1"/>
  <c r="N62" i="1"/>
  <c r="G62" i="1"/>
  <c r="V62" i="1"/>
  <c r="P62" i="1"/>
  <c r="U62" i="1"/>
  <c r="I62" i="1"/>
  <c r="T62" i="1"/>
  <c r="Z60" i="1" l="1"/>
  <c r="N63" i="1" s="1"/>
  <c r="H69" i="1"/>
  <c r="G65" i="1"/>
  <c r="F65" i="1" l="1"/>
  <c r="R71" i="1" s="1"/>
  <c r="H71" i="1"/>
  <c r="G69" i="1"/>
  <c r="G70" i="1" l="1"/>
  <c r="N70" i="1"/>
  <c r="T70" i="1"/>
  <c r="W70" i="1"/>
  <c r="P70" i="1"/>
  <c r="L70" i="1"/>
  <c r="P71" i="1"/>
  <c r="H70" i="1"/>
  <c r="J70" i="1"/>
  <c r="U70" i="1"/>
  <c r="J71" i="1"/>
  <c r="Z68" i="1"/>
  <c r="N71" i="1" s="1"/>
  <c r="O70" i="1"/>
  <c r="V70" i="1"/>
  <c r="X70" i="1"/>
  <c r="Y70" i="1"/>
  <c r="R70" i="1"/>
  <c r="I70" i="1"/>
  <c r="Q70" i="1"/>
  <c r="K70" i="1"/>
  <c r="S70" i="1"/>
  <c r="M70" i="1"/>
  <c r="AD66" i="1"/>
</calcChain>
</file>

<file path=xl/sharedStrings.xml><?xml version="1.0" encoding="utf-8"?>
<sst xmlns="http://schemas.openxmlformats.org/spreadsheetml/2006/main" count="264" uniqueCount="66">
  <si>
    <t xml:space="preserve">A = </t>
  </si>
  <si>
    <t xml:space="preserve">С = </t>
  </si>
  <si>
    <t>x1=</t>
  </si>
  <si>
    <t>x2=</t>
  </si>
  <si>
    <t>x3=</t>
  </si>
  <si>
    <t>x4=</t>
  </si>
  <si>
    <t>x5=</t>
  </si>
  <si>
    <t>x6=</t>
  </si>
  <si>
    <t>x7=</t>
  </si>
  <si>
    <t>x8=</t>
  </si>
  <si>
    <t>x9=</t>
  </si>
  <si>
    <t>x10=</t>
  </si>
  <si>
    <t>x11=</t>
  </si>
  <si>
    <t>x12=</t>
  </si>
  <si>
    <t>- x1 =</t>
  </si>
  <si>
    <t>- x2 =</t>
  </si>
  <si>
    <t xml:space="preserve">- x3 = </t>
  </si>
  <si>
    <t>- x4 =</t>
  </si>
  <si>
    <t>- x5 =</t>
  </si>
  <si>
    <t>- x6 =</t>
  </si>
  <si>
    <t>A =</t>
  </si>
  <si>
    <t>C =</t>
  </si>
  <si>
    <t>A + C =</t>
  </si>
  <si>
    <t>A + C + C =</t>
  </si>
  <si>
    <t>C - A =</t>
  </si>
  <si>
    <t>65536 - x4 =</t>
  </si>
  <si>
    <t xml:space="preserve">B1 = </t>
  </si>
  <si>
    <t>B2 =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</si>
  <si>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</si>
  <si>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</si>
  <si>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</si>
  <si>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</si>
  <si>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</si>
  <si>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</si>
  <si>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</si>
  <si>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</si>
  <si>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</si>
  <si>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</si>
  <si>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>.</t>
  </si>
  <si>
    <t>Перенос</t>
  </si>
  <si>
    <t>B1</t>
  </si>
  <si>
    <t>+B2</t>
  </si>
  <si>
    <t>-</t>
  </si>
  <si>
    <t xml:space="preserve">CF = </t>
  </si>
  <si>
    <t>PF =</t>
  </si>
  <si>
    <t>AF=</t>
  </si>
  <si>
    <t>ZF =</t>
  </si>
  <si>
    <t>SF=</t>
  </si>
  <si>
    <t>OF=</t>
  </si>
  <si>
    <t>+</t>
  </si>
  <si>
    <t>перевод из допкода</t>
  </si>
  <si>
    <t>B2</t>
  </si>
  <si>
    <t>+B3</t>
  </si>
  <si>
    <t>=</t>
  </si>
  <si>
    <t>+B7</t>
  </si>
  <si>
    <t>B7</t>
  </si>
  <si>
    <t>+B8</t>
  </si>
  <si>
    <t>B8</t>
  </si>
  <si>
    <t>+B9</t>
  </si>
  <si>
    <t>B11</t>
  </si>
  <si>
    <t>-B1=</t>
  </si>
  <si>
    <t>-B2=</t>
  </si>
  <si>
    <t>-B3=</t>
  </si>
  <si>
    <t>-B4=</t>
  </si>
  <si>
    <t>-B5=</t>
  </si>
  <si>
    <t>-B6=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</si>
</sst>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/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1" xfId="0" quotePrefix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right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right"/>
    </xf>
    <xf numFmtId="0" fontId="0" fillId="0" borderId="7" xfId="0" quotePrefix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1"/>
  <sheetViews>
    <sheetView tabSelected="1" topLeftCell="A6" zoomScaleNormal="100" zoomScalePageLayoutView="70" workbookViewId="0">
      <selection activeCell="G10" sqref="G10"/>
    </sheetView>
  </sheetViews>
  <sheetFormatPr defaultRowHeight="15" x14ac:dyDescent="0.25"/>
  <cols>
    <col min="3" max="3" width="12.28515625" customWidth="1"/>
    <col min="4" max="4" width="3.7109375" customWidth="1"/>
    <col min="5" max="5" width="8.140625" customWidth="1"/>
    <col min="7" max="25" width="3.85546875" customWidth="1"/>
  </cols>
  <sheetData>
    <row r="1" spans="1:25" ht="15" customHeight="1" x14ac:dyDescent="0.35">
      <c r="B1" s="2" t="s">
        <v>0</v>
      </c>
      <c r="C1" s="3">
        <v>7389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5" customHeight="1" x14ac:dyDescent="0.35">
      <c r="B2" s="2" t="s">
        <v>1</v>
      </c>
      <c r="C2" s="3">
        <v>17178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G3" s="5">
        <v>15</v>
      </c>
      <c r="H3" s="5">
        <v>14</v>
      </c>
      <c r="I3" s="5">
        <v>13</v>
      </c>
      <c r="J3" s="5">
        <v>12</v>
      </c>
      <c r="K3" s="5" t="s">
        <v>38</v>
      </c>
      <c r="L3" s="5">
        <v>11</v>
      </c>
      <c r="M3" s="5">
        <v>10</v>
      </c>
      <c r="N3" s="5">
        <v>9</v>
      </c>
      <c r="O3" s="5">
        <v>8</v>
      </c>
      <c r="P3" s="5" t="s">
        <v>38</v>
      </c>
      <c r="Q3" s="5">
        <v>7</v>
      </c>
      <c r="R3" s="5">
        <v>6</v>
      </c>
      <c r="S3" s="5">
        <v>5</v>
      </c>
      <c r="T3" s="5">
        <v>4</v>
      </c>
      <c r="U3" s="5" t="s">
        <v>38</v>
      </c>
      <c r="V3" s="5">
        <v>3</v>
      </c>
      <c r="W3" s="5">
        <v>2</v>
      </c>
      <c r="X3" s="5">
        <v>1</v>
      </c>
      <c r="Y3" s="5">
        <v>0</v>
      </c>
    </row>
    <row r="4" spans="1:25" ht="15.75" x14ac:dyDescent="0.25">
      <c r="A4" s="13" t="s">
        <v>2</v>
      </c>
      <c r="B4" s="11" t="s">
        <v>20</v>
      </c>
      <c r="C4" s="11">
        <f>C1</f>
        <v>7389</v>
      </c>
      <c r="D4" s="11"/>
      <c r="E4" s="11" t="s">
        <v>26</v>
      </c>
      <c r="F4" s="11"/>
      <c r="G4" s="12" t="str">
        <f t="shared" ref="G4:P9" si="0">IF((G$3="."),".",MID(IF($C4&gt;0,_xlfn.BASE($C4,2,16),_xlfn.BASE($C4+2^16,2,16)),16-G$3,1))</f>
        <v>0</v>
      </c>
      <c r="H4" s="12" t="str">
        <f t="shared" si="0"/>
        <v>0</v>
      </c>
      <c r="I4" s="12" t="str">
        <f t="shared" si="0"/>
        <v>0</v>
      </c>
      <c r="J4" s="12" t="str">
        <f t="shared" si="0"/>
        <v>1</v>
      </c>
      <c r="K4" s="12" t="str">
        <f t="shared" si="0"/>
        <v>.</v>
      </c>
      <c r="L4" s="12" t="str">
        <f t="shared" si="0"/>
        <v>1</v>
      </c>
      <c r="M4" s="12" t="str">
        <f t="shared" si="0"/>
        <v>1</v>
      </c>
      <c r="N4" s="12" t="str">
        <f t="shared" si="0"/>
        <v>0</v>
      </c>
      <c r="O4" s="12" t="str">
        <f t="shared" si="0"/>
        <v>0</v>
      </c>
      <c r="P4" s="12" t="str">
        <f t="shared" si="0"/>
        <v>.</v>
      </c>
      <c r="Q4" s="12" t="str">
        <f t="shared" ref="Q4:Y9" si="1">IF((Q$3="."),".",MID(IF($C4&gt;0,_xlfn.BASE($C4,2,16),_xlfn.BASE($C4+2^16,2,16)),16-Q$3,1))</f>
        <v>1</v>
      </c>
      <c r="R4" s="12" t="str">
        <f t="shared" si="1"/>
        <v>1</v>
      </c>
      <c r="S4" s="12" t="str">
        <f t="shared" si="1"/>
        <v>0</v>
      </c>
      <c r="T4" s="12" t="str">
        <f t="shared" si="1"/>
        <v>1</v>
      </c>
      <c r="U4" s="12" t="str">
        <f t="shared" si="1"/>
        <v>.</v>
      </c>
      <c r="V4" s="12" t="str">
        <f t="shared" si="1"/>
        <v>1</v>
      </c>
      <c r="W4" s="12" t="str">
        <f t="shared" si="1"/>
        <v>1</v>
      </c>
      <c r="X4" s="12" t="str">
        <f t="shared" si="1"/>
        <v>0</v>
      </c>
      <c r="Y4" s="14" t="str">
        <f t="shared" si="1"/>
        <v>1</v>
      </c>
    </row>
    <row r="5" spans="1:25" ht="15.75" x14ac:dyDescent="0.25">
      <c r="A5" s="15" t="s">
        <v>3</v>
      </c>
      <c r="B5" t="s">
        <v>21</v>
      </c>
      <c r="C5">
        <f>C2</f>
        <v>17178</v>
      </c>
      <c r="E5" t="s">
        <v>27</v>
      </c>
      <c r="G5" s="1" t="str">
        <f t="shared" si="0"/>
        <v>0</v>
      </c>
      <c r="H5" s="1" t="str">
        <f t="shared" si="0"/>
        <v>1</v>
      </c>
      <c r="I5" s="1" t="str">
        <f t="shared" si="0"/>
        <v>0</v>
      </c>
      <c r="J5" s="1" t="str">
        <f t="shared" si="0"/>
        <v>0</v>
      </c>
      <c r="K5" s="1" t="str">
        <f t="shared" si="0"/>
        <v>.</v>
      </c>
      <c r="L5" s="1" t="str">
        <f t="shared" si="0"/>
        <v>0</v>
      </c>
      <c r="M5" s="1" t="str">
        <f t="shared" si="0"/>
        <v>0</v>
      </c>
      <c r="N5" s="1" t="str">
        <f t="shared" si="0"/>
        <v>1</v>
      </c>
      <c r="O5" s="1" t="str">
        <f t="shared" si="0"/>
        <v>1</v>
      </c>
      <c r="P5" s="1" t="str">
        <f t="shared" si="0"/>
        <v>.</v>
      </c>
      <c r="Q5" s="1" t="str">
        <f t="shared" si="1"/>
        <v>0</v>
      </c>
      <c r="R5" s="1" t="str">
        <f t="shared" si="1"/>
        <v>0</v>
      </c>
      <c r="S5" s="1" t="str">
        <f t="shared" si="1"/>
        <v>0</v>
      </c>
      <c r="T5" s="1" t="str">
        <f t="shared" si="1"/>
        <v>1</v>
      </c>
      <c r="U5" s="1" t="str">
        <f t="shared" si="1"/>
        <v>.</v>
      </c>
      <c r="V5" s="1" t="str">
        <f t="shared" si="1"/>
        <v>1</v>
      </c>
      <c r="W5" s="1" t="str">
        <f t="shared" si="1"/>
        <v>0</v>
      </c>
      <c r="X5" s="1" t="str">
        <f t="shared" si="1"/>
        <v>1</v>
      </c>
      <c r="Y5" s="16" t="str">
        <f t="shared" si="1"/>
        <v>0</v>
      </c>
    </row>
    <row r="6" spans="1:25" ht="15.75" x14ac:dyDescent="0.25">
      <c r="A6" s="15" t="s">
        <v>4</v>
      </c>
      <c r="B6" t="s">
        <v>22</v>
      </c>
      <c r="C6">
        <f>C1+C2</f>
        <v>24567</v>
      </c>
      <c r="E6" t="s">
        <v>28</v>
      </c>
      <c r="G6" s="1" t="str">
        <f t="shared" si="0"/>
        <v>0</v>
      </c>
      <c r="H6" s="1" t="str">
        <f t="shared" si="0"/>
        <v>1</v>
      </c>
      <c r="I6" s="1" t="str">
        <f t="shared" si="0"/>
        <v>0</v>
      </c>
      <c r="J6" s="1" t="str">
        <f t="shared" si="0"/>
        <v>1</v>
      </c>
      <c r="K6" s="1" t="str">
        <f t="shared" si="0"/>
        <v>.</v>
      </c>
      <c r="L6" s="1" t="str">
        <f t="shared" si="0"/>
        <v>1</v>
      </c>
      <c r="M6" s="1" t="str">
        <f t="shared" si="0"/>
        <v>1</v>
      </c>
      <c r="N6" s="1" t="str">
        <f t="shared" si="0"/>
        <v>1</v>
      </c>
      <c r="O6" s="1" t="str">
        <f t="shared" si="0"/>
        <v>1</v>
      </c>
      <c r="P6" s="1" t="str">
        <f t="shared" si="0"/>
        <v>.</v>
      </c>
      <c r="Q6" s="1" t="str">
        <f t="shared" si="1"/>
        <v>1</v>
      </c>
      <c r="R6" s="1" t="str">
        <f t="shared" si="1"/>
        <v>1</v>
      </c>
      <c r="S6" s="1" t="str">
        <f t="shared" si="1"/>
        <v>1</v>
      </c>
      <c r="T6" s="1" t="str">
        <f t="shared" si="1"/>
        <v>1</v>
      </c>
      <c r="U6" s="1" t="str">
        <f t="shared" si="1"/>
        <v>.</v>
      </c>
      <c r="V6" s="1" t="str">
        <f t="shared" si="1"/>
        <v>0</v>
      </c>
      <c r="W6" s="1" t="str">
        <f t="shared" si="1"/>
        <v>1</v>
      </c>
      <c r="X6" s="1" t="str">
        <f t="shared" si="1"/>
        <v>1</v>
      </c>
      <c r="Y6" s="16" t="str">
        <f t="shared" si="1"/>
        <v>1</v>
      </c>
    </row>
    <row r="7" spans="1:25" ht="15.75" x14ac:dyDescent="0.25">
      <c r="A7" s="15" t="s">
        <v>5</v>
      </c>
      <c r="B7" t="s">
        <v>23</v>
      </c>
      <c r="C7">
        <f>C1+C2+C2</f>
        <v>41745</v>
      </c>
      <c r="E7" t="s">
        <v>29</v>
      </c>
      <c r="G7" s="1" t="str">
        <f t="shared" si="0"/>
        <v>1</v>
      </c>
      <c r="H7" s="1" t="str">
        <f t="shared" si="0"/>
        <v>0</v>
      </c>
      <c r="I7" s="1" t="str">
        <f t="shared" si="0"/>
        <v>1</v>
      </c>
      <c r="J7" s="1" t="str">
        <f t="shared" si="0"/>
        <v>0</v>
      </c>
      <c r="K7" s="1" t="str">
        <f t="shared" si="0"/>
        <v>.</v>
      </c>
      <c r="L7" s="1" t="str">
        <f t="shared" si="0"/>
        <v>0</v>
      </c>
      <c r="M7" s="1" t="str">
        <f t="shared" si="0"/>
        <v>0</v>
      </c>
      <c r="N7" s="1" t="str">
        <f t="shared" si="0"/>
        <v>1</v>
      </c>
      <c r="O7" s="1" t="str">
        <f t="shared" si="0"/>
        <v>1</v>
      </c>
      <c r="P7" s="1" t="str">
        <f t="shared" si="0"/>
        <v>.</v>
      </c>
      <c r="Q7" s="1" t="str">
        <f t="shared" si="1"/>
        <v>0</v>
      </c>
      <c r="R7" s="1" t="str">
        <f t="shared" si="1"/>
        <v>0</v>
      </c>
      <c r="S7" s="1" t="str">
        <f t="shared" si="1"/>
        <v>0</v>
      </c>
      <c r="T7" s="1" t="str">
        <f t="shared" si="1"/>
        <v>1</v>
      </c>
      <c r="U7" s="1" t="str">
        <f t="shared" si="1"/>
        <v>.</v>
      </c>
      <c r="V7" s="1" t="str">
        <f t="shared" si="1"/>
        <v>0</v>
      </c>
      <c r="W7" s="1" t="str">
        <f t="shared" si="1"/>
        <v>0</v>
      </c>
      <c r="X7" s="1" t="str">
        <f t="shared" si="1"/>
        <v>0</v>
      </c>
      <c r="Y7" s="16" t="str">
        <f t="shared" si="1"/>
        <v>1</v>
      </c>
    </row>
    <row r="8" spans="1:25" ht="15.75" x14ac:dyDescent="0.25">
      <c r="A8" s="15" t="s">
        <v>6</v>
      </c>
      <c r="B8" t="s">
        <v>24</v>
      </c>
      <c r="C8">
        <f>C2-C1</f>
        <v>9789</v>
      </c>
      <c r="E8" t="s">
        <v>30</v>
      </c>
      <c r="G8" s="1" t="str">
        <f t="shared" si="0"/>
        <v>0</v>
      </c>
      <c r="H8" s="1" t="str">
        <f t="shared" si="0"/>
        <v>0</v>
      </c>
      <c r="I8" s="1" t="str">
        <f t="shared" si="0"/>
        <v>1</v>
      </c>
      <c r="J8" s="1" t="str">
        <f t="shared" si="0"/>
        <v>0</v>
      </c>
      <c r="K8" s="1" t="str">
        <f t="shared" si="0"/>
        <v>.</v>
      </c>
      <c r="L8" s="1" t="str">
        <f t="shared" si="0"/>
        <v>0</v>
      </c>
      <c r="M8" s="1" t="str">
        <f t="shared" si="0"/>
        <v>1</v>
      </c>
      <c r="N8" s="1" t="str">
        <f t="shared" si="0"/>
        <v>1</v>
      </c>
      <c r="O8" s="1" t="str">
        <f t="shared" si="0"/>
        <v>0</v>
      </c>
      <c r="P8" s="1" t="str">
        <f t="shared" si="0"/>
        <v>.</v>
      </c>
      <c r="Q8" s="1" t="str">
        <f t="shared" si="1"/>
        <v>0</v>
      </c>
      <c r="R8" s="1" t="str">
        <f t="shared" si="1"/>
        <v>0</v>
      </c>
      <c r="S8" s="1" t="str">
        <f t="shared" si="1"/>
        <v>1</v>
      </c>
      <c r="T8" s="1" t="str">
        <f t="shared" si="1"/>
        <v>1</v>
      </c>
      <c r="U8" s="1" t="str">
        <f t="shared" si="1"/>
        <v>.</v>
      </c>
      <c r="V8" s="1" t="str">
        <f t="shared" si="1"/>
        <v>1</v>
      </c>
      <c r="W8" s="1" t="str">
        <f t="shared" si="1"/>
        <v>1</v>
      </c>
      <c r="X8" s="1" t="str">
        <f t="shared" si="1"/>
        <v>0</v>
      </c>
      <c r="Y8" s="16" t="str">
        <f t="shared" si="1"/>
        <v>1</v>
      </c>
    </row>
    <row r="9" spans="1:25" ht="15.75" x14ac:dyDescent="0.25">
      <c r="A9" s="15" t="s">
        <v>7</v>
      </c>
      <c r="B9" t="s">
        <v>25</v>
      </c>
      <c r="C9">
        <f>65536-C7</f>
        <v>23791</v>
      </c>
      <c r="E9" t="s">
        <v>31</v>
      </c>
      <c r="G9" s="1" t="str">
        <f t="shared" si="0"/>
        <v>0</v>
      </c>
      <c r="H9" s="1" t="str">
        <f t="shared" si="0"/>
        <v>1</v>
      </c>
      <c r="I9" s="1" t="str">
        <f t="shared" si="0"/>
        <v>0</v>
      </c>
      <c r="J9" s="1" t="str">
        <f t="shared" si="0"/>
        <v>1</v>
      </c>
      <c r="K9" s="1" t="str">
        <f t="shared" si="0"/>
        <v>.</v>
      </c>
      <c r="L9" s="1" t="str">
        <f t="shared" si="0"/>
        <v>1</v>
      </c>
      <c r="M9" s="1" t="str">
        <f t="shared" si="0"/>
        <v>1</v>
      </c>
      <c r="N9" s="1" t="str">
        <f t="shared" si="0"/>
        <v>0</v>
      </c>
      <c r="O9" s="1" t="str">
        <f t="shared" si="0"/>
        <v>0</v>
      </c>
      <c r="P9" s="1" t="str">
        <f t="shared" si="0"/>
        <v>.</v>
      </c>
      <c r="Q9" s="1" t="str">
        <f t="shared" si="1"/>
        <v>1</v>
      </c>
      <c r="R9" s="1" t="str">
        <f t="shared" si="1"/>
        <v>1</v>
      </c>
      <c r="S9" s="1" t="str">
        <f t="shared" si="1"/>
        <v>1</v>
      </c>
      <c r="T9" s="1" t="str">
        <f t="shared" si="1"/>
        <v>0</v>
      </c>
      <c r="U9" s="1" t="str">
        <f t="shared" si="1"/>
        <v>.</v>
      </c>
      <c r="V9" s="1" t="str">
        <f t="shared" si="1"/>
        <v>1</v>
      </c>
      <c r="W9" s="1" t="str">
        <f t="shared" si="1"/>
        <v>1</v>
      </c>
      <c r="X9" s="1" t="str">
        <f t="shared" si="1"/>
        <v>1</v>
      </c>
      <c r="Y9" s="16" t="str">
        <f t="shared" si="1"/>
        <v>1</v>
      </c>
    </row>
    <row r="10" spans="1:25" ht="15.75" x14ac:dyDescent="0.25">
      <c r="A10" s="13" t="s">
        <v>8</v>
      </c>
      <c r="B10" s="10" t="s">
        <v>14</v>
      </c>
      <c r="C10" s="11">
        <f>-C4</f>
        <v>-7389</v>
      </c>
      <c r="D10" s="11"/>
      <c r="E10" s="11" t="s">
        <v>32</v>
      </c>
      <c r="F10" s="10" t="s">
        <v>60</v>
      </c>
      <c r="G10" s="12">
        <f>IF(G4=".",".",IF(COUNTIF(H4:$Z4,1),1-G4,G4))</f>
        <v>1</v>
      </c>
      <c r="H10" s="12">
        <f>IF(H4=".",".",IF(COUNTIF(I4:$Z4,1),1-H4,H4))</f>
        <v>1</v>
      </c>
      <c r="I10" s="12">
        <f>IF(I4=".",".",IF(COUNTIF(J4:$Z4,1),1-I4,I4))</f>
        <v>1</v>
      </c>
      <c r="J10" s="12">
        <f>IF(J4=".",".",IF(COUNTIF(K4:$Z4,1),1-J4,J4))</f>
        <v>0</v>
      </c>
      <c r="K10" s="12" t="str">
        <f>IF(K4=".",".",IF(COUNTIF(L4:$Z4,1),1-K4,K4))</f>
        <v>.</v>
      </c>
      <c r="L10" s="12">
        <f>IF(L4=".",".",IF(COUNTIF(M4:$Z4,1),1-L4,L4))</f>
        <v>0</v>
      </c>
      <c r="M10" s="12">
        <f>IF(M4=".",".",IF(COUNTIF(N4:$Z4,1),1-M4,M4))</f>
        <v>0</v>
      </c>
      <c r="N10" s="12">
        <f>IF(N4=".",".",IF(COUNTIF(O4:$Z4,1),1-N4,N4))</f>
        <v>1</v>
      </c>
      <c r="O10" s="12">
        <f>IF(O4=".",".",IF(COUNTIF(P4:$Z4,1),1-O4,O4))</f>
        <v>1</v>
      </c>
      <c r="P10" s="12" t="str">
        <f>IF(P4=".",".",IF(COUNTIF(Q4:$Z4,1),1-P4,P4))</f>
        <v>.</v>
      </c>
      <c r="Q10" s="12">
        <f>IF(Q4=".",".",IF(COUNTIF(R4:$Z4,1),1-Q4,Q4))</f>
        <v>0</v>
      </c>
      <c r="R10" s="12">
        <f>IF(R4=".",".",IF(COUNTIF(S4:$Z4,1),1-R4,R4))</f>
        <v>0</v>
      </c>
      <c r="S10" s="12">
        <f>IF(S4=".",".",IF(COUNTIF(T4:$Z4,1),1-S4,S4))</f>
        <v>1</v>
      </c>
      <c r="T10" s="12">
        <f>IF(T4=".",".",IF(COUNTIF(U4:$Z4,1),1-T4,T4))</f>
        <v>0</v>
      </c>
      <c r="U10" s="12" t="str">
        <f>IF(U4=".",".",IF(COUNTIF(V4:$Z4,1),1-U4,U4))</f>
        <v>.</v>
      </c>
      <c r="V10" s="12">
        <f>IF(V4=".",".",IF(COUNTIF(W4:$Z4,1),1-V4,V4))</f>
        <v>0</v>
      </c>
      <c r="W10" s="12">
        <f>IF(W4=".",".",IF(COUNTIF(X4:$Z4,1),1-W4,W4))</f>
        <v>0</v>
      </c>
      <c r="X10" s="12">
        <f>IF(X4=".",".",IF(COUNTIF(Y4:$Z4,1),1-X4,X4))</f>
        <v>1</v>
      </c>
      <c r="Y10" s="14" t="str">
        <f>IF(Y4=".",".",IF(COUNTIF(Z4:$Z4,1),1-Y4,Y4))</f>
        <v>1</v>
      </c>
    </row>
    <row r="11" spans="1:25" ht="15.75" x14ac:dyDescent="0.25">
      <c r="A11" s="15" t="s">
        <v>9</v>
      </c>
      <c r="B11" s="4" t="s">
        <v>15</v>
      </c>
      <c r="C11">
        <f t="shared" ref="C11:C15" si="2">-C5</f>
        <v>-17178</v>
      </c>
      <c r="E11" t="s">
        <v>33</v>
      </c>
      <c r="F11" s="4" t="s">
        <v>61</v>
      </c>
      <c r="G11" s="1">
        <f>IF(G5=".",".",IF(COUNTIF(H5:$Z5,1),1-G5,G5))</f>
        <v>1</v>
      </c>
      <c r="H11" s="1">
        <f>IF(H5=".",".",IF(COUNTIF(I5:$Z5,1),1-H5,H5))</f>
        <v>0</v>
      </c>
      <c r="I11" s="1">
        <f>IF(I5=".",".",IF(COUNTIF(J5:$Z5,1),1-I5,I5))</f>
        <v>1</v>
      </c>
      <c r="J11" s="1">
        <f>IF(J5=".",".",IF(COUNTIF(K5:$Z5,1),1-J5,J5))</f>
        <v>1</v>
      </c>
      <c r="K11" s="1" t="str">
        <f>IF(K5=".",".",IF(COUNTIF(L5:$Z5,1),1-K5,K5))</f>
        <v>.</v>
      </c>
      <c r="L11" s="1">
        <f>IF(L5=".",".",IF(COUNTIF(M5:$Z5,1),1-L5,L5))</f>
        <v>1</v>
      </c>
      <c r="M11" s="1">
        <f>IF(M5=".",".",IF(COUNTIF(N5:$Z5,1),1-M5,M5))</f>
        <v>1</v>
      </c>
      <c r="N11" s="1">
        <f>IF(N5=".",".",IF(COUNTIF(O5:$Z5,1),1-N5,N5))</f>
        <v>0</v>
      </c>
      <c r="O11" s="1">
        <f>IF(O5=".",".",IF(COUNTIF(P5:$Z5,1),1-O5,O5))</f>
        <v>0</v>
      </c>
      <c r="P11" s="1" t="str">
        <f>IF(P5=".",".",IF(COUNTIF(Q5:$Z5,1),1-P5,P5))</f>
        <v>.</v>
      </c>
      <c r="Q11" s="1">
        <f>IF(Q5=".",".",IF(COUNTIF(R5:$Z5,1),1-Q5,Q5))</f>
        <v>1</v>
      </c>
      <c r="R11" s="1">
        <f>IF(R5=".",".",IF(COUNTIF(S5:$Z5,1),1-R5,R5))</f>
        <v>1</v>
      </c>
      <c r="S11" s="1">
        <f>IF(S5=".",".",IF(COUNTIF(T5:$Z5,1),1-S5,S5))</f>
        <v>1</v>
      </c>
      <c r="T11" s="1">
        <f>IF(T5=".",".",IF(COUNTIF(U5:$Z5,1),1-T5,T5))</f>
        <v>0</v>
      </c>
      <c r="U11" s="1" t="str">
        <f>IF(U5=".",".",IF(COUNTIF(V5:$Z5,1),1-U5,U5))</f>
        <v>.</v>
      </c>
      <c r="V11" s="1">
        <f>IF(V5=".",".",IF(COUNTIF(W5:$Z5,1),1-V5,V5))</f>
        <v>0</v>
      </c>
      <c r="W11" s="1">
        <f>IF(W5=".",".",IF(COUNTIF(X5:$Z5,1),1-W5,W5))</f>
        <v>1</v>
      </c>
      <c r="X11" s="1" t="str">
        <f>IF(X5=".",".",IF(COUNTIF(Y5:$Z5,1),1-X5,X5))</f>
        <v>1</v>
      </c>
      <c r="Y11" s="16" t="str">
        <f>IF(Y5=".",".",IF(COUNTIF(Z5:$Z5,1),1-Y5,Y5))</f>
        <v>0</v>
      </c>
    </row>
    <row r="12" spans="1:25" ht="15.75" x14ac:dyDescent="0.25">
      <c r="A12" s="15" t="s">
        <v>10</v>
      </c>
      <c r="B12" s="4" t="s">
        <v>16</v>
      </c>
      <c r="C12">
        <f t="shared" si="2"/>
        <v>-24567</v>
      </c>
      <c r="E12" t="s">
        <v>34</v>
      </c>
      <c r="F12" s="4" t="s">
        <v>62</v>
      </c>
      <c r="G12" s="1">
        <f>IF(G6=".",".",IF(COUNTIF(H6:$Z6,1),1-G6,G6))</f>
        <v>1</v>
      </c>
      <c r="H12" s="1">
        <f>IF(H6=".",".",IF(COUNTIF(I6:$Z6,1),1-H6,H6))</f>
        <v>0</v>
      </c>
      <c r="I12" s="1">
        <f>IF(I6=".",".",IF(COUNTIF(J6:$Z6,1),1-I6,I6))</f>
        <v>1</v>
      </c>
      <c r="J12" s="1">
        <f>IF(J6=".",".",IF(COUNTIF(K6:$Z6,1),1-J6,J6))</f>
        <v>0</v>
      </c>
      <c r="K12" s="1" t="str">
        <f>IF(K6=".",".",IF(COUNTIF(L6:$Z6,1),1-K6,K6))</f>
        <v>.</v>
      </c>
      <c r="L12" s="1">
        <f>IF(L6=".",".",IF(COUNTIF(M6:$Z6,1),1-L6,L6))</f>
        <v>0</v>
      </c>
      <c r="M12" s="1">
        <f>IF(M6=".",".",IF(COUNTIF(N6:$Z6,1),1-M6,M6))</f>
        <v>0</v>
      </c>
      <c r="N12" s="1">
        <f>IF(N6=".",".",IF(COUNTIF(O6:$Z6,1),1-N6,N6))</f>
        <v>0</v>
      </c>
      <c r="O12" s="1">
        <f>IF(O6=".",".",IF(COUNTIF(P6:$Z6,1),1-O6,O6))</f>
        <v>0</v>
      </c>
      <c r="P12" s="1" t="str">
        <f>IF(P6=".",".",IF(COUNTIF(Q6:$Z6,1),1-P6,P6))</f>
        <v>.</v>
      </c>
      <c r="Q12" s="1">
        <f>IF(Q6=".",".",IF(COUNTIF(R6:$Z6,1),1-Q6,Q6))</f>
        <v>0</v>
      </c>
      <c r="R12" s="1">
        <f>IF(R6=".",".",IF(COUNTIF(S6:$Z6,1),1-R6,R6))</f>
        <v>0</v>
      </c>
      <c r="S12" s="1">
        <f>IF(S6=".",".",IF(COUNTIF(T6:$Z6,1),1-S6,S6))</f>
        <v>0</v>
      </c>
      <c r="T12" s="1">
        <f>IF(T6=".",".",IF(COUNTIF(U6:$Z6,1),1-T6,T6))</f>
        <v>0</v>
      </c>
      <c r="U12" s="1" t="str">
        <f>IF(U6=".",".",IF(COUNTIF(V6:$Z6,1),1-U6,U6))</f>
        <v>.</v>
      </c>
      <c r="V12" s="1">
        <f>IF(V6=".",".",IF(COUNTIF(W6:$Z6,1),1-V6,V6))</f>
        <v>1</v>
      </c>
      <c r="W12" s="1">
        <f>IF(W6=".",".",IF(COUNTIF(X6:$Z6,1),1-W6,W6))</f>
        <v>0</v>
      </c>
      <c r="X12" s="1">
        <f>IF(X6=".",".",IF(COUNTIF(Y6:$Z6,1),1-X6,X6))</f>
        <v>0</v>
      </c>
      <c r="Y12" s="16" t="str">
        <f>IF(Y6=".",".",IF(COUNTIF(Z6:$Z6,1),1-Y6,Y6))</f>
        <v>1</v>
      </c>
    </row>
    <row r="13" spans="1:25" ht="15.75" x14ac:dyDescent="0.25">
      <c r="A13" s="15" t="s">
        <v>11</v>
      </c>
      <c r="B13" s="4" t="s">
        <v>17</v>
      </c>
      <c r="C13">
        <f t="shared" si="2"/>
        <v>-41745</v>
      </c>
      <c r="E13" t="s">
        <v>35</v>
      </c>
      <c r="F13" s="4" t="s">
        <v>63</v>
      </c>
      <c r="G13" s="1">
        <f>IF(G7=".",".",IF(COUNTIF(H7:$Z7,1),1-G7,G7))</f>
        <v>0</v>
      </c>
      <c r="H13" s="1">
        <f>IF(H7=".",".",IF(COUNTIF(I7:$Z7,1),1-H7,H7))</f>
        <v>1</v>
      </c>
      <c r="I13" s="1">
        <f>IF(I7=".",".",IF(COUNTIF(J7:$Z7,1),1-I7,I7))</f>
        <v>0</v>
      </c>
      <c r="J13" s="1">
        <f>IF(J7=".",".",IF(COUNTIF(K7:$Z7,1),1-J7,J7))</f>
        <v>1</v>
      </c>
      <c r="K13" s="1" t="str">
        <f>IF(K7=".",".",IF(COUNTIF(L7:$Z7,1),1-K7,K7))</f>
        <v>.</v>
      </c>
      <c r="L13" s="1">
        <f>IF(L7=".",".",IF(COUNTIF(M7:$Z7,1),1-L7,L7))</f>
        <v>1</v>
      </c>
      <c r="M13" s="1">
        <f>IF(M7=".",".",IF(COUNTIF(N7:$Z7,1),1-M7,M7))</f>
        <v>1</v>
      </c>
      <c r="N13" s="1">
        <f>IF(N7=".",".",IF(COUNTIF(O7:$Z7,1),1-N7,N7))</f>
        <v>0</v>
      </c>
      <c r="O13" s="1">
        <f>IF(O7=".",".",IF(COUNTIF(P7:$Z7,1),1-O7,O7))</f>
        <v>0</v>
      </c>
      <c r="P13" s="1" t="str">
        <f>IF(P7=".",".",IF(COUNTIF(Q7:$Z7,1),1-P7,P7))</f>
        <v>.</v>
      </c>
      <c r="Q13" s="1">
        <f>IF(Q7=".",".",IF(COUNTIF(R7:$Z7,1),1-Q7,Q7))</f>
        <v>1</v>
      </c>
      <c r="R13" s="1">
        <f>IF(R7=".",".",IF(COUNTIF(S7:$Z7,1),1-R7,R7))</f>
        <v>1</v>
      </c>
      <c r="S13" s="1">
        <f>IF(S7=".",".",IF(COUNTIF(T7:$Z7,1),1-S7,S7))</f>
        <v>1</v>
      </c>
      <c r="T13" s="1">
        <f>IF(T7=".",".",IF(COUNTIF(U7:$Z7,1),1-T7,T7))</f>
        <v>0</v>
      </c>
      <c r="U13" s="1" t="str">
        <f>IF(U7=".",".",IF(COUNTIF(V7:$Z7,1),1-U7,U7))</f>
        <v>.</v>
      </c>
      <c r="V13" s="1">
        <f>IF(V7=".",".",IF(COUNTIF(W7:$Z7,1),1-V7,V7))</f>
        <v>1</v>
      </c>
      <c r="W13" s="1">
        <f>IF(W7=".",".",IF(COUNTIF(X7:$Z7,1),1-W7,W7))</f>
        <v>1</v>
      </c>
      <c r="X13" s="1">
        <f>IF(X7=".",".",IF(COUNTIF(Y7:$Z7,1),1-X7,X7))</f>
        <v>1</v>
      </c>
      <c r="Y13" s="16" t="str">
        <f>IF(Y7=".",".",IF(COUNTIF(Z7:$Z7,1),1-Y7,Y7))</f>
        <v>1</v>
      </c>
    </row>
    <row r="14" spans="1:25" ht="15.75" x14ac:dyDescent="0.25">
      <c r="A14" s="15" t="s">
        <v>12</v>
      </c>
      <c r="B14" s="4" t="s">
        <v>18</v>
      </c>
      <c r="C14">
        <f t="shared" si="2"/>
        <v>-9789</v>
      </c>
      <c r="E14" t="s">
        <v>36</v>
      </c>
      <c r="F14" s="4" t="s">
        <v>64</v>
      </c>
      <c r="G14" s="1">
        <f>IF(G8=".",".",IF(COUNTIF(H8:$Z8,1),1-G8,G8))</f>
        <v>1</v>
      </c>
      <c r="H14" s="1">
        <f>IF(H8=".",".",IF(COUNTIF(I8:$Z8,1),1-H8,H8))</f>
        <v>1</v>
      </c>
      <c r="I14" s="1">
        <f>IF(I8=".",".",IF(COUNTIF(J8:$Z8,1),1-I8,I8))</f>
        <v>0</v>
      </c>
      <c r="J14" s="1">
        <f>IF(J8=".",".",IF(COUNTIF(K8:$Z8,1),1-J8,J8))</f>
        <v>1</v>
      </c>
      <c r="K14" s="1" t="str">
        <f>IF(K8=".",".",IF(COUNTIF(L8:$Z8,1),1-K8,K8))</f>
        <v>.</v>
      </c>
      <c r="L14" s="1">
        <f>IF(L8=".",".",IF(COUNTIF(M8:$Z8,1),1-L8,L8))</f>
        <v>1</v>
      </c>
      <c r="M14" s="1">
        <f>IF(M8=".",".",IF(COUNTIF(N8:$Z8,1),1-M8,M8))</f>
        <v>0</v>
      </c>
      <c r="N14" s="1">
        <f>IF(N8=".",".",IF(COUNTIF(O8:$Z8,1),1-N8,N8))</f>
        <v>0</v>
      </c>
      <c r="O14" s="1">
        <f>IF(O8=".",".",IF(COUNTIF(P8:$Z8,1),1-O8,O8))</f>
        <v>1</v>
      </c>
      <c r="P14" s="1" t="str">
        <f>IF(P8=".",".",IF(COUNTIF(Q8:$Z8,1),1-P8,P8))</f>
        <v>.</v>
      </c>
      <c r="Q14" s="1">
        <f>IF(Q8=".",".",IF(COUNTIF(R8:$Z8,1),1-Q8,Q8))</f>
        <v>1</v>
      </c>
      <c r="R14" s="1">
        <f>IF(R8=".",".",IF(COUNTIF(S8:$Z8,1),1-R8,R8))</f>
        <v>1</v>
      </c>
      <c r="S14" s="1">
        <f>IF(S8=".",".",IF(COUNTIF(T8:$Z8,1),1-S8,S8))</f>
        <v>0</v>
      </c>
      <c r="T14" s="1">
        <f>IF(T8=".",".",IF(COUNTIF(U8:$Z8,1),1-T8,T8))</f>
        <v>0</v>
      </c>
      <c r="U14" s="1" t="str">
        <f>IF(U8=".",".",IF(COUNTIF(V8:$Z8,1),1-U8,U8))</f>
        <v>.</v>
      </c>
      <c r="V14" s="1">
        <f>IF(V8=".",".",IF(COUNTIF(W8:$Z8,1),1-V8,V8))</f>
        <v>0</v>
      </c>
      <c r="W14" s="1">
        <f>IF(W8=".",".",IF(COUNTIF(X8:$Z8,1),1-W8,W8))</f>
        <v>0</v>
      </c>
      <c r="X14" s="1">
        <f>IF(X8=".",".",IF(COUNTIF(Y8:$Z8,1),1-X8,X8))</f>
        <v>1</v>
      </c>
      <c r="Y14" s="16" t="str">
        <f>IF(Y8=".",".",IF(COUNTIF(Z8:$Z8,1),1-Y8,Y8))</f>
        <v>1</v>
      </c>
    </row>
    <row r="15" spans="1:25" ht="15.75" x14ac:dyDescent="0.25">
      <c r="A15" s="17" t="s">
        <v>13</v>
      </c>
      <c r="B15" s="18" t="s">
        <v>19</v>
      </c>
      <c r="C15" s="19">
        <f t="shared" si="2"/>
        <v>-23791</v>
      </c>
      <c r="D15" s="19"/>
      <c r="E15" s="19" t="s">
        <v>37</v>
      </c>
      <c r="F15" s="18" t="s">
        <v>65</v>
      </c>
      <c r="G15" s="20">
        <f>IF(G9=".",".",IF(COUNTIF(H9:$Z9,1),1-G9,G9))</f>
        <v>1</v>
      </c>
      <c r="H15" s="20">
        <f>IF(H9=".",".",IF(COUNTIF(I9:$Z9,1),1-H9,H9))</f>
        <v>0</v>
      </c>
      <c r="I15" s="20">
        <f>IF(I9=".",".",IF(COUNTIF(J9:$Z9,1),1-I9,I9))</f>
        <v>1</v>
      </c>
      <c r="J15" s="20">
        <f>IF(J9=".",".",IF(COUNTIF(K9:$Z9,1),1-J9,J9))</f>
        <v>0</v>
      </c>
      <c r="K15" s="20" t="str">
        <f>IF(K9=".",".",IF(COUNTIF(L9:$Z9,1),1-K9,K9))</f>
        <v>.</v>
      </c>
      <c r="L15" s="20">
        <f>IF(L9=".",".",IF(COUNTIF(M9:$Z9,1),1-L9,L9))</f>
        <v>0</v>
      </c>
      <c r="M15" s="20">
        <f>IF(M9=".",".",IF(COUNTIF(N9:$Z9,1),1-M9,M9))</f>
        <v>0</v>
      </c>
      <c r="N15" s="20">
        <f>IF(N9=".",".",IF(COUNTIF(O9:$Z9,1),1-N9,N9))</f>
        <v>1</v>
      </c>
      <c r="O15" s="20">
        <f>IF(O9=".",".",IF(COUNTIF(P9:$Z9,1),1-O9,O9))</f>
        <v>1</v>
      </c>
      <c r="P15" s="20" t="str">
        <f>IF(P9=".",".",IF(COUNTIF(Q9:$Z9,1),1-P9,P9))</f>
        <v>.</v>
      </c>
      <c r="Q15" s="20">
        <f>IF(Q9=".",".",IF(COUNTIF(R9:$Z9,1),1-Q9,Q9))</f>
        <v>0</v>
      </c>
      <c r="R15" s="20">
        <f>IF(R9=".",".",IF(COUNTIF(S9:$Z9,1),1-R9,R9))</f>
        <v>0</v>
      </c>
      <c r="S15" s="20">
        <f>IF(S9=".",".",IF(COUNTIF(T9:$Z9,1),1-S9,S9))</f>
        <v>0</v>
      </c>
      <c r="T15" s="20">
        <f>IF(T9=".",".",IF(COUNTIF(U9:$Z9,1),1-T9,T9))</f>
        <v>1</v>
      </c>
      <c r="U15" s="20" t="str">
        <f>IF(U9=".",".",IF(COUNTIF(V9:$Z9,1),1-U9,U9))</f>
        <v>.</v>
      </c>
      <c r="V15" s="20">
        <f>IF(V9=".",".",IF(COUNTIF(W9:$Z9,1),1-V9,V9))</f>
        <v>0</v>
      </c>
      <c r="W15" s="20">
        <f>IF(W9=".",".",IF(COUNTIF(X9:$Z9,1),1-W9,W9))</f>
        <v>0</v>
      </c>
      <c r="X15" s="20">
        <f>IF(X9=".",".",IF(COUNTIF(Y9:$Z9,1),1-X9,X9))</f>
        <v>0</v>
      </c>
      <c r="Y15" s="21" t="str">
        <f>IF(Y9=".",".",IF(COUNTIF(Z9:$Z9,1),1-Y9,Y9))</f>
        <v>1</v>
      </c>
    </row>
    <row r="17" spans="4:30" x14ac:dyDescent="0.25">
      <c r="D17" t="s">
        <v>39</v>
      </c>
      <c r="F17">
        <f>IF(G19+G18+G17&gt;1,1,0)</f>
        <v>0</v>
      </c>
      <c r="G17" s="1">
        <f t="shared" ref="G17:S17" si="3">IF(H18=".",H17,IF((H19+H18+H17&gt;1),1,0))</f>
        <v>0</v>
      </c>
      <c r="H17" s="1">
        <f t="shared" si="3"/>
        <v>0</v>
      </c>
      <c r="I17" s="1">
        <f t="shared" si="3"/>
        <v>0</v>
      </c>
      <c r="J17" s="1">
        <f t="shared" si="3"/>
        <v>0</v>
      </c>
      <c r="K17" s="1">
        <f t="shared" si="3"/>
        <v>0</v>
      </c>
      <c r="L17" s="1">
        <f t="shared" si="3"/>
        <v>0</v>
      </c>
      <c r="M17" s="1">
        <f t="shared" si="3"/>
        <v>0</v>
      </c>
      <c r="N17" s="1">
        <f t="shared" si="3"/>
        <v>0</v>
      </c>
      <c r="O17" s="1">
        <f t="shared" si="3"/>
        <v>0</v>
      </c>
      <c r="P17" s="1">
        <f t="shared" si="3"/>
        <v>0</v>
      </c>
      <c r="Q17" s="1">
        <f t="shared" si="3"/>
        <v>0</v>
      </c>
      <c r="R17" s="1">
        <f t="shared" si="3"/>
        <v>0</v>
      </c>
      <c r="S17" s="1">
        <f t="shared" si="3"/>
        <v>1</v>
      </c>
      <c r="T17" s="1">
        <f>IF(U18=".",U17,IF((U19+U18+U17&gt;1),1,0))</f>
        <v>1</v>
      </c>
      <c r="U17" s="1">
        <f t="shared" ref="U17:Y17" si="4">IF(V18=".",V17,IF((V19+V18+V17&gt;1),1,0))</f>
        <v>1</v>
      </c>
      <c r="V17" s="1">
        <f t="shared" si="4"/>
        <v>0</v>
      </c>
      <c r="W17" s="1">
        <f t="shared" si="4"/>
        <v>0</v>
      </c>
      <c r="X17" s="1">
        <f t="shared" si="4"/>
        <v>0</v>
      </c>
      <c r="Y17" s="1">
        <f t="shared" si="4"/>
        <v>0</v>
      </c>
    </row>
    <row r="18" spans="4:30" x14ac:dyDescent="0.25">
      <c r="D18" t="s">
        <v>40</v>
      </c>
      <c r="G18" s="1" t="str">
        <f>G4</f>
        <v>0</v>
      </c>
      <c r="H18" s="1" t="str">
        <f t="shared" ref="H18:Y18" si="5">H4</f>
        <v>0</v>
      </c>
      <c r="I18" s="1" t="str">
        <f t="shared" si="5"/>
        <v>0</v>
      </c>
      <c r="J18" s="1" t="str">
        <f t="shared" si="5"/>
        <v>1</v>
      </c>
      <c r="K18" s="1" t="str">
        <f t="shared" si="5"/>
        <v>.</v>
      </c>
      <c r="L18" s="1" t="str">
        <f t="shared" si="5"/>
        <v>1</v>
      </c>
      <c r="M18" s="1" t="str">
        <f t="shared" si="5"/>
        <v>1</v>
      </c>
      <c r="N18" s="1" t="str">
        <f t="shared" si="5"/>
        <v>0</v>
      </c>
      <c r="O18" s="1" t="str">
        <f t="shared" si="5"/>
        <v>0</v>
      </c>
      <c r="P18" s="1" t="str">
        <f t="shared" si="5"/>
        <v>.</v>
      </c>
      <c r="Q18" s="1" t="str">
        <f t="shared" si="5"/>
        <v>1</v>
      </c>
      <c r="R18" s="1" t="str">
        <f t="shared" si="5"/>
        <v>1</v>
      </c>
      <c r="S18" s="1" t="str">
        <f t="shared" si="5"/>
        <v>0</v>
      </c>
      <c r="T18" s="1" t="str">
        <f t="shared" si="5"/>
        <v>1</v>
      </c>
      <c r="U18" s="1" t="str">
        <f t="shared" si="5"/>
        <v>.</v>
      </c>
      <c r="V18" s="1" t="str">
        <f t="shared" si="5"/>
        <v>1</v>
      </c>
      <c r="W18" s="1" t="str">
        <f t="shared" si="5"/>
        <v>1</v>
      </c>
      <c r="X18" s="1" t="str">
        <f t="shared" si="5"/>
        <v>0</v>
      </c>
      <c r="Y18" s="1" t="str">
        <f t="shared" si="5"/>
        <v>1</v>
      </c>
      <c r="AB18">
        <f>C4</f>
        <v>7389</v>
      </c>
      <c r="AD18" t="str">
        <f>IF(H23=1,IF(R23=1,"Произошел перенос из старшего разряда и переполнение","Произошёл перенос из старшего разряда"),IF(R23=1,"Произошло переполнение","все нормально"))</f>
        <v>все нормально</v>
      </c>
    </row>
    <row r="19" spans="4:30" x14ac:dyDescent="0.25">
      <c r="D19" s="4" t="s">
        <v>41</v>
      </c>
      <c r="G19" s="1" t="str">
        <f>G5</f>
        <v>0</v>
      </c>
      <c r="H19" s="1" t="str">
        <f t="shared" ref="H19:Y19" si="6">H5</f>
        <v>1</v>
      </c>
      <c r="I19" s="1" t="str">
        <f t="shared" si="6"/>
        <v>0</v>
      </c>
      <c r="J19" s="1" t="str">
        <f t="shared" si="6"/>
        <v>0</v>
      </c>
      <c r="K19" s="1" t="str">
        <f t="shared" si="6"/>
        <v>.</v>
      </c>
      <c r="L19" s="1" t="str">
        <f t="shared" si="6"/>
        <v>0</v>
      </c>
      <c r="M19" s="1" t="str">
        <f t="shared" si="6"/>
        <v>0</v>
      </c>
      <c r="N19" s="1" t="str">
        <f t="shared" si="6"/>
        <v>1</v>
      </c>
      <c r="O19" s="1" t="str">
        <f t="shared" si="6"/>
        <v>1</v>
      </c>
      <c r="P19" s="1" t="str">
        <f t="shared" si="6"/>
        <v>.</v>
      </c>
      <c r="Q19" s="1" t="str">
        <f t="shared" si="6"/>
        <v>0</v>
      </c>
      <c r="R19" s="1" t="str">
        <f t="shared" si="6"/>
        <v>0</v>
      </c>
      <c r="S19" s="1" t="str">
        <f t="shared" si="6"/>
        <v>0</v>
      </c>
      <c r="T19" s="1" t="str">
        <f t="shared" si="6"/>
        <v>1</v>
      </c>
      <c r="U19" s="1" t="str">
        <f t="shared" si="6"/>
        <v>.</v>
      </c>
      <c r="V19" s="1" t="str">
        <f t="shared" si="6"/>
        <v>1</v>
      </c>
      <c r="W19" s="1" t="str">
        <f t="shared" si="6"/>
        <v>0</v>
      </c>
      <c r="X19" s="1" t="str">
        <f t="shared" si="6"/>
        <v>1</v>
      </c>
      <c r="Y19" s="1" t="str">
        <f t="shared" si="6"/>
        <v>0</v>
      </c>
      <c r="AA19" s="7" t="s">
        <v>49</v>
      </c>
      <c r="AB19">
        <f>C5</f>
        <v>17178</v>
      </c>
    </row>
    <row r="20" spans="4:30" x14ac:dyDescent="0.25">
      <c r="G20" s="6" t="s">
        <v>42</v>
      </c>
      <c r="H20" s="6" t="s">
        <v>42</v>
      </c>
      <c r="I20" s="6" t="s">
        <v>42</v>
      </c>
      <c r="J20" s="6" t="s">
        <v>42</v>
      </c>
      <c r="K20" s="6" t="s">
        <v>42</v>
      </c>
      <c r="L20" s="6" t="s">
        <v>42</v>
      </c>
      <c r="M20" s="6" t="s">
        <v>42</v>
      </c>
      <c r="N20" s="6" t="s">
        <v>42</v>
      </c>
      <c r="O20" s="6" t="s">
        <v>42</v>
      </c>
      <c r="P20" s="6" t="s">
        <v>42</v>
      </c>
      <c r="Q20" s="6" t="s">
        <v>42</v>
      </c>
      <c r="R20" s="6" t="s">
        <v>42</v>
      </c>
      <c r="S20" s="6" t="s">
        <v>42</v>
      </c>
      <c r="T20" s="6" t="s">
        <v>42</v>
      </c>
      <c r="U20" s="6" t="s">
        <v>42</v>
      </c>
      <c r="V20" s="6" t="s">
        <v>42</v>
      </c>
      <c r="W20" s="6" t="s">
        <v>42</v>
      </c>
      <c r="X20" s="6" t="s">
        <v>42</v>
      </c>
      <c r="Y20" s="6" t="s">
        <v>42</v>
      </c>
      <c r="Z20">
        <f>IF(G21=0,_xlfn.DECIMAL(G21&amp;H21&amp;I21&amp;J21&amp;L21&amp;M21&amp;N21&amp;O21&amp;Q21&amp;R21&amp;S21&amp;T21&amp;V21&amp;W21&amp;X21&amp;Y21,2),-_xlfn.DECIMAL(H22&amp;I22&amp;J22&amp;L22&amp;M22&amp;N22&amp;O22&amp;Q22&amp;R22&amp;S22&amp;T22&amp;V22&amp;W22&amp;X22&amp;Y22,2))</f>
        <v>24567</v>
      </c>
      <c r="AB20" s="6" t="s">
        <v>53</v>
      </c>
    </row>
    <row r="21" spans="4:30" x14ac:dyDescent="0.25">
      <c r="G21" s="1">
        <f t="shared" ref="G21:S21" si="7">IF(G19=".",".",IF(MOD(G19+G18+G17,2)=1,1,0))</f>
        <v>0</v>
      </c>
      <c r="H21" s="1">
        <f t="shared" si="7"/>
        <v>1</v>
      </c>
      <c r="I21" s="1">
        <f t="shared" si="7"/>
        <v>0</v>
      </c>
      <c r="J21" s="1">
        <f t="shared" si="7"/>
        <v>1</v>
      </c>
      <c r="K21" s="1" t="str">
        <f t="shared" si="7"/>
        <v>.</v>
      </c>
      <c r="L21" s="1">
        <f t="shared" si="7"/>
        <v>1</v>
      </c>
      <c r="M21" s="1">
        <f t="shared" si="7"/>
        <v>1</v>
      </c>
      <c r="N21" s="1">
        <f t="shared" si="7"/>
        <v>1</v>
      </c>
      <c r="O21" s="1">
        <f t="shared" si="7"/>
        <v>1</v>
      </c>
      <c r="P21" s="1" t="str">
        <f t="shared" si="7"/>
        <v>.</v>
      </c>
      <c r="Q21" s="1">
        <f t="shared" si="7"/>
        <v>1</v>
      </c>
      <c r="R21" s="1">
        <f t="shared" si="7"/>
        <v>1</v>
      </c>
      <c r="S21" s="1">
        <f t="shared" si="7"/>
        <v>1</v>
      </c>
      <c r="T21" s="1">
        <f>IF(T19=".",".",IF(MOD(T19+T18+T17,2)=1,1,0))</f>
        <v>1</v>
      </c>
      <c r="U21" s="1" t="str">
        <f t="shared" ref="U21:Y21" si="8">IF(U19=".",".",IF(MOD(U19+U18+U17,2)=1,1,0))</f>
        <v>.</v>
      </c>
      <c r="V21" s="1">
        <f t="shared" si="8"/>
        <v>0</v>
      </c>
      <c r="W21" s="1">
        <f t="shared" si="8"/>
        <v>1</v>
      </c>
      <c r="X21" s="1">
        <f t="shared" si="8"/>
        <v>1</v>
      </c>
      <c r="Y21" s="1">
        <f t="shared" si="8"/>
        <v>1</v>
      </c>
      <c r="Z21" s="1"/>
      <c r="AB21">
        <f>AB18+AB19</f>
        <v>24567</v>
      </c>
    </row>
    <row r="22" spans="4:30" x14ac:dyDescent="0.25">
      <c r="D22" t="s">
        <v>50</v>
      </c>
      <c r="G22" s="8" t="str">
        <f>IF($G21=1,IF(G21=".",".",IF((COUNTIF(H21:Y21,"1")&gt;0),1-G21,G21)),"")</f>
        <v/>
      </c>
      <c r="H22" t="str">
        <f t="shared" ref="H22:Y22" si="9">IF($G21=1,IF(H21=".",".",IF((COUNTIF(I21:Z21,"1")&gt;0),1-H21,H21)),"")</f>
        <v/>
      </c>
      <c r="I22" t="str">
        <f t="shared" si="9"/>
        <v/>
      </c>
      <c r="J22" t="str">
        <f t="shared" si="9"/>
        <v/>
      </c>
      <c r="K22" t="str">
        <f t="shared" si="9"/>
        <v/>
      </c>
      <c r="L22" t="str">
        <f t="shared" si="9"/>
        <v/>
      </c>
      <c r="M22" t="str">
        <f t="shared" si="9"/>
        <v/>
      </c>
      <c r="N22" t="str">
        <f t="shared" si="9"/>
        <v/>
      </c>
      <c r="O22" t="str">
        <f t="shared" si="9"/>
        <v/>
      </c>
      <c r="P22" t="str">
        <f t="shared" si="9"/>
        <v/>
      </c>
      <c r="Q22" t="str">
        <f t="shared" si="9"/>
        <v/>
      </c>
      <c r="R22" t="str">
        <f t="shared" si="9"/>
        <v/>
      </c>
      <c r="S22" t="str">
        <f t="shared" si="9"/>
        <v/>
      </c>
      <c r="T22" t="str">
        <f t="shared" si="9"/>
        <v/>
      </c>
      <c r="U22" t="str">
        <f t="shared" si="9"/>
        <v/>
      </c>
      <c r="V22" t="str">
        <f t="shared" si="9"/>
        <v/>
      </c>
      <c r="W22" t="str">
        <f t="shared" si="9"/>
        <v/>
      </c>
      <c r="X22" t="str">
        <f t="shared" si="9"/>
        <v/>
      </c>
      <c r="Y22" t="str">
        <f t="shared" si="9"/>
        <v/>
      </c>
    </row>
    <row r="23" spans="4:30" x14ac:dyDescent="0.25">
      <c r="G23" t="s">
        <v>43</v>
      </c>
      <c r="H23" s="3">
        <f>F17</f>
        <v>0</v>
      </c>
      <c r="I23" t="s">
        <v>44</v>
      </c>
      <c r="J23" s="3">
        <f>IF(MOD(SUM(G21:Y21),2)=0,1,0)</f>
        <v>0</v>
      </c>
      <c r="K23" t="s">
        <v>45</v>
      </c>
      <c r="L23" s="3">
        <f>U17</f>
        <v>1</v>
      </c>
      <c r="M23" t="s">
        <v>46</v>
      </c>
      <c r="N23" s="3">
        <f>IF(Z20=0,1,0)</f>
        <v>0</v>
      </c>
      <c r="O23" t="s">
        <v>47</v>
      </c>
      <c r="P23" s="3">
        <f>G21</f>
        <v>0</v>
      </c>
      <c r="Q23" t="s">
        <v>48</v>
      </c>
      <c r="R23" s="3">
        <f>IF(G17&lt;&gt;F17,1,0)</f>
        <v>0</v>
      </c>
    </row>
    <row r="25" spans="4:30" x14ac:dyDescent="0.25">
      <c r="D25" t="s">
        <v>39</v>
      </c>
      <c r="F25">
        <f>IF(G27+G26+G25&gt;1,1,0)</f>
        <v>0</v>
      </c>
      <c r="G25" s="1">
        <f t="shared" ref="G25:S25" si="10">IF(H26=".",H25,IF((H27+H26+H25&gt;1),1,0))</f>
        <v>1</v>
      </c>
      <c r="H25" s="1">
        <f t="shared" si="10"/>
        <v>0</v>
      </c>
      <c r="I25" s="1">
        <f t="shared" si="10"/>
        <v>1</v>
      </c>
      <c r="J25" s="1">
        <f t="shared" si="10"/>
        <v>1</v>
      </c>
      <c r="K25" s="1">
        <f t="shared" si="10"/>
        <v>1</v>
      </c>
      <c r="L25" s="1">
        <f t="shared" si="10"/>
        <v>1</v>
      </c>
      <c r="M25" s="1">
        <f t="shared" si="10"/>
        <v>1</v>
      </c>
      <c r="N25" s="1">
        <f t="shared" si="10"/>
        <v>1</v>
      </c>
      <c r="O25" s="1">
        <f t="shared" si="10"/>
        <v>1</v>
      </c>
      <c r="P25" s="1">
        <f t="shared" si="10"/>
        <v>1</v>
      </c>
      <c r="Q25" s="1">
        <f t="shared" si="10"/>
        <v>1</v>
      </c>
      <c r="R25" s="1">
        <f t="shared" si="10"/>
        <v>1</v>
      </c>
      <c r="S25" s="1">
        <f t="shared" si="10"/>
        <v>1</v>
      </c>
      <c r="T25" s="1">
        <f>IF(U26=".",U25,IF((U27+U26+U25&gt;1),1,0))</f>
        <v>1</v>
      </c>
      <c r="U25" s="1">
        <f t="shared" ref="U25:Y25" si="11">IF(V26=".",V25,IF((V27+V26+V25&gt;1),1,0))</f>
        <v>1</v>
      </c>
      <c r="V25" s="1">
        <f t="shared" si="11"/>
        <v>1</v>
      </c>
      <c r="W25" s="1">
        <f t="shared" si="11"/>
        <v>1</v>
      </c>
      <c r="X25" s="1">
        <f t="shared" si="11"/>
        <v>0</v>
      </c>
      <c r="Y25" s="1">
        <f t="shared" si="11"/>
        <v>0</v>
      </c>
    </row>
    <row r="26" spans="4:30" x14ac:dyDescent="0.25">
      <c r="D26" t="s">
        <v>51</v>
      </c>
      <c r="G26" s="1" t="str">
        <f>G5</f>
        <v>0</v>
      </c>
      <c r="H26" s="1" t="str">
        <f t="shared" ref="H26:Y26" si="12">H5</f>
        <v>1</v>
      </c>
      <c r="I26" s="1" t="str">
        <f t="shared" si="12"/>
        <v>0</v>
      </c>
      <c r="J26" s="1" t="str">
        <f t="shared" si="12"/>
        <v>0</v>
      </c>
      <c r="K26" s="1" t="str">
        <f t="shared" si="12"/>
        <v>.</v>
      </c>
      <c r="L26" s="1" t="str">
        <f t="shared" si="12"/>
        <v>0</v>
      </c>
      <c r="M26" s="1" t="str">
        <f t="shared" si="12"/>
        <v>0</v>
      </c>
      <c r="N26" s="1" t="str">
        <f t="shared" si="12"/>
        <v>1</v>
      </c>
      <c r="O26" s="1" t="str">
        <f t="shared" si="12"/>
        <v>1</v>
      </c>
      <c r="P26" s="1" t="str">
        <f t="shared" si="12"/>
        <v>.</v>
      </c>
      <c r="Q26" s="1" t="str">
        <f t="shared" si="12"/>
        <v>0</v>
      </c>
      <c r="R26" s="1" t="str">
        <f t="shared" si="12"/>
        <v>0</v>
      </c>
      <c r="S26" s="1" t="str">
        <f t="shared" si="12"/>
        <v>0</v>
      </c>
      <c r="T26" s="1" t="str">
        <f t="shared" si="12"/>
        <v>1</v>
      </c>
      <c r="U26" s="1" t="str">
        <f t="shared" si="12"/>
        <v>.</v>
      </c>
      <c r="V26" s="1" t="str">
        <f t="shared" si="12"/>
        <v>1</v>
      </c>
      <c r="W26" s="1" t="str">
        <f t="shared" si="12"/>
        <v>0</v>
      </c>
      <c r="X26" s="1" t="str">
        <f t="shared" si="12"/>
        <v>1</v>
      </c>
      <c r="Y26" s="1" t="str">
        <f t="shared" si="12"/>
        <v>0</v>
      </c>
      <c r="AB26">
        <f>C12</f>
        <v>-24567</v>
      </c>
      <c r="AD26" t="str">
        <f>IF(H31=1,IF(R31=1,"Произошел перенос из старшего разряда и переполнение","Произошёл перенос из старшего разряда"),IF(R31=1,"Произошло переполнение","все нормально"))</f>
        <v>Произошло переполнение</v>
      </c>
    </row>
    <row r="27" spans="4:30" x14ac:dyDescent="0.25">
      <c r="D27" s="4" t="s">
        <v>52</v>
      </c>
      <c r="G27" s="1" t="str">
        <f>G6</f>
        <v>0</v>
      </c>
      <c r="H27" s="1" t="str">
        <f t="shared" ref="H27:Y27" si="13">H6</f>
        <v>1</v>
      </c>
      <c r="I27" s="1" t="str">
        <f t="shared" si="13"/>
        <v>0</v>
      </c>
      <c r="J27" s="1" t="str">
        <f t="shared" si="13"/>
        <v>1</v>
      </c>
      <c r="K27" s="1" t="str">
        <f t="shared" si="13"/>
        <v>.</v>
      </c>
      <c r="L27" s="1" t="str">
        <f t="shared" si="13"/>
        <v>1</v>
      </c>
      <c r="M27" s="1" t="str">
        <f t="shared" si="13"/>
        <v>1</v>
      </c>
      <c r="N27" s="1" t="str">
        <f t="shared" si="13"/>
        <v>1</v>
      </c>
      <c r="O27" s="1" t="str">
        <f t="shared" si="13"/>
        <v>1</v>
      </c>
      <c r="P27" s="1" t="str">
        <f t="shared" si="13"/>
        <v>.</v>
      </c>
      <c r="Q27" s="1" t="str">
        <f t="shared" si="13"/>
        <v>1</v>
      </c>
      <c r="R27" s="1" t="str">
        <f t="shared" si="13"/>
        <v>1</v>
      </c>
      <c r="S27" s="1" t="str">
        <f t="shared" si="13"/>
        <v>1</v>
      </c>
      <c r="T27" s="1" t="str">
        <f t="shared" si="13"/>
        <v>1</v>
      </c>
      <c r="U27" s="1" t="str">
        <f t="shared" si="13"/>
        <v>.</v>
      </c>
      <c r="V27" s="1" t="str">
        <f t="shared" si="13"/>
        <v>0</v>
      </c>
      <c r="W27" s="1" t="str">
        <f t="shared" si="13"/>
        <v>1</v>
      </c>
      <c r="X27" s="1" t="str">
        <f t="shared" si="13"/>
        <v>1</v>
      </c>
      <c r="Y27" s="1" t="str">
        <f t="shared" si="13"/>
        <v>1</v>
      </c>
      <c r="AA27" s="7" t="s">
        <v>49</v>
      </c>
      <c r="AB27">
        <f>C13</f>
        <v>-41745</v>
      </c>
    </row>
    <row r="28" spans="4:30" x14ac:dyDescent="0.25">
      <c r="G28" s="6" t="s">
        <v>42</v>
      </c>
      <c r="H28" s="6" t="s">
        <v>42</v>
      </c>
      <c r="I28" s="6" t="s">
        <v>42</v>
      </c>
      <c r="J28" s="6" t="s">
        <v>42</v>
      </c>
      <c r="K28" s="6" t="s">
        <v>42</v>
      </c>
      <c r="L28" s="6" t="s">
        <v>42</v>
      </c>
      <c r="M28" s="6" t="s">
        <v>42</v>
      </c>
      <c r="N28" s="6" t="s">
        <v>42</v>
      </c>
      <c r="O28" s="6" t="s">
        <v>42</v>
      </c>
      <c r="P28" s="6" t="s">
        <v>42</v>
      </c>
      <c r="Q28" s="6" t="s">
        <v>42</v>
      </c>
      <c r="R28" s="6" t="s">
        <v>42</v>
      </c>
      <c r="S28" s="6" t="s">
        <v>42</v>
      </c>
      <c r="T28" s="6" t="s">
        <v>42</v>
      </c>
      <c r="U28" s="6" t="s">
        <v>42</v>
      </c>
      <c r="V28" s="6" t="s">
        <v>42</v>
      </c>
      <c r="W28" s="6" t="s">
        <v>42</v>
      </c>
      <c r="X28" s="6" t="s">
        <v>42</v>
      </c>
      <c r="Y28" s="6" t="s">
        <v>42</v>
      </c>
      <c r="Z28">
        <f>IF(G29=0,_xlfn.DECIMAL(G29&amp;H29&amp;I29&amp;J29&amp;L29&amp;M29&amp;N29&amp;O29&amp;Q29&amp;R29&amp;S29&amp;T29&amp;V29&amp;W29&amp;X29&amp;Y29,2),-_xlfn.DECIMAL(H30&amp;I30&amp;J30&amp;L30&amp;M30&amp;N30&amp;O30&amp;Q30&amp;R30&amp;S30&amp;T30&amp;V30&amp;W30&amp;X30&amp;Y30,2))</f>
        <v>-23791</v>
      </c>
      <c r="AB28" s="6" t="s">
        <v>53</v>
      </c>
    </row>
    <row r="29" spans="4:30" x14ac:dyDescent="0.25">
      <c r="G29" s="1">
        <f t="shared" ref="G29:S29" si="14">IF(G27=".",".",IF(MOD(G27+G26+G25,2)=1,1,0))</f>
        <v>1</v>
      </c>
      <c r="H29" s="1">
        <f t="shared" si="14"/>
        <v>0</v>
      </c>
      <c r="I29" s="1">
        <f t="shared" si="14"/>
        <v>1</v>
      </c>
      <c r="J29" s="1">
        <f t="shared" si="14"/>
        <v>0</v>
      </c>
      <c r="K29" s="1" t="str">
        <f t="shared" si="14"/>
        <v>.</v>
      </c>
      <c r="L29" s="1">
        <f t="shared" si="14"/>
        <v>0</v>
      </c>
      <c r="M29" s="1">
        <f t="shared" si="14"/>
        <v>0</v>
      </c>
      <c r="N29" s="1">
        <f t="shared" si="14"/>
        <v>1</v>
      </c>
      <c r="O29" s="1">
        <f t="shared" si="14"/>
        <v>1</v>
      </c>
      <c r="P29" s="1" t="str">
        <f t="shared" si="14"/>
        <v>.</v>
      </c>
      <c r="Q29" s="1">
        <f t="shared" si="14"/>
        <v>0</v>
      </c>
      <c r="R29" s="1">
        <f t="shared" si="14"/>
        <v>0</v>
      </c>
      <c r="S29" s="1">
        <f t="shared" si="14"/>
        <v>0</v>
      </c>
      <c r="T29" s="1">
        <f>IF(T27=".",".",IF(MOD(T27+T26+T25,2)=1,1,0))</f>
        <v>1</v>
      </c>
      <c r="U29" s="1" t="str">
        <f t="shared" ref="U29:Y29" si="15">IF(U27=".",".",IF(MOD(U27+U26+U25,2)=1,1,0))</f>
        <v>.</v>
      </c>
      <c r="V29" s="1">
        <f t="shared" si="15"/>
        <v>0</v>
      </c>
      <c r="W29" s="1">
        <f t="shared" si="15"/>
        <v>0</v>
      </c>
      <c r="X29" s="1">
        <f t="shared" si="15"/>
        <v>0</v>
      </c>
      <c r="Y29" s="1">
        <f t="shared" si="15"/>
        <v>1</v>
      </c>
      <c r="Z29" s="1"/>
      <c r="AB29">
        <f>AB26+AB27</f>
        <v>-66312</v>
      </c>
    </row>
    <row r="30" spans="4:30" x14ac:dyDescent="0.25">
      <c r="D30" t="s">
        <v>50</v>
      </c>
      <c r="G30" s="8">
        <f>IF($G29=1,IF(G29=".",".",IF((COUNTIF(H29:Y29,"1")&gt;0),1-G29,G29)),"")</f>
        <v>0</v>
      </c>
      <c r="H30" s="8">
        <f t="shared" ref="H30" si="16">IF($G29=1,IF(H29=".",".",IF((COUNTIF(I29:Z29,"1")&gt;0),1-H29,H29)),"")</f>
        <v>1</v>
      </c>
      <c r="I30" s="8">
        <f t="shared" ref="I30" si="17">IF($G29=1,IF(I29=".",".",IF((COUNTIF(J29:AA29,"1")&gt;0),1-I29,I29)),"")</f>
        <v>0</v>
      </c>
      <c r="J30" s="8">
        <f t="shared" ref="J30" si="18">IF($G29=1,IF(J29=".",".",IF((COUNTIF(K29:AB29,"1")&gt;0),1-J29,J29)),"")</f>
        <v>1</v>
      </c>
      <c r="K30" s="8" t="str">
        <f t="shared" ref="K30" si="19">IF($G29=1,IF(K29=".",".",IF((COUNTIF(L29:AC29,"1")&gt;0),1-K29,K29)),"")</f>
        <v>.</v>
      </c>
      <c r="L30" s="8">
        <f t="shared" ref="L30" si="20">IF($G29=1,IF(L29=".",".",IF((COUNTIF(M29:AD29,"1")&gt;0),1-L29,L29)),"")</f>
        <v>1</v>
      </c>
      <c r="M30" s="8">
        <f t="shared" ref="M30" si="21">IF($G29=1,IF(M29=".",".",IF((COUNTIF(N29:AE29,"1")&gt;0),1-M29,M29)),"")</f>
        <v>1</v>
      </c>
      <c r="N30" s="8">
        <f t="shared" ref="N30" si="22">IF($G29=1,IF(N29=".",".",IF((COUNTIF(O29:AF29,"1")&gt;0),1-N29,N29)),"")</f>
        <v>0</v>
      </c>
      <c r="O30" s="8">
        <f t="shared" ref="O30" si="23">IF($G29=1,IF(O29=".",".",IF((COUNTIF(P29:AG29,"1")&gt;0),1-O29,O29)),"")</f>
        <v>0</v>
      </c>
      <c r="P30" s="8" t="str">
        <f t="shared" ref="P30" si="24">IF($G29=1,IF(P29=".",".",IF((COUNTIF(Q29:AH29,"1")&gt;0),1-P29,P29)),"")</f>
        <v>.</v>
      </c>
      <c r="Q30" s="8">
        <f t="shared" ref="Q30" si="25">IF($G29=1,IF(Q29=".",".",IF((COUNTIF(R29:AI29,"1")&gt;0),1-Q29,Q29)),"")</f>
        <v>1</v>
      </c>
      <c r="R30" s="8">
        <f t="shared" ref="R30" si="26">IF($G29=1,IF(R29=".",".",IF((COUNTIF(S29:AJ29,"1")&gt;0),1-R29,R29)),"")</f>
        <v>1</v>
      </c>
      <c r="S30" s="8">
        <f t="shared" ref="S30" si="27">IF($G29=1,IF(S29=".",".",IF((COUNTIF(T29:AK29,"1")&gt;0),1-S29,S29)),"")</f>
        <v>1</v>
      </c>
      <c r="T30" s="8">
        <f t="shared" ref="T30" si="28">IF($G29=1,IF(T29=".",".",IF((COUNTIF(U29:AL29,"1")&gt;0),1-T29,T29)),"")</f>
        <v>0</v>
      </c>
      <c r="U30" s="8" t="str">
        <f t="shared" ref="U30" si="29">IF($G29=1,IF(U29=".",".",IF((COUNTIF(V29:AM29,"1")&gt;0),1-U29,U29)),"")</f>
        <v>.</v>
      </c>
      <c r="V30" s="8">
        <f t="shared" ref="V30" si="30">IF($G29=1,IF(V29=".",".",IF((COUNTIF(W29:AN29,"1")&gt;0),1-V29,V29)),"")</f>
        <v>1</v>
      </c>
      <c r="W30" s="8">
        <f t="shared" ref="W30" si="31">IF($G29=1,IF(W29=".",".",IF((COUNTIF(X29:AO29,"1")&gt;0),1-W29,W29)),"")</f>
        <v>1</v>
      </c>
      <c r="X30" s="8">
        <f t="shared" ref="X30" si="32">IF($G29=1,IF(X29=".",".",IF((COUNTIF(Y29:AP29,"1")&gt;0),1-X29,X29)),"")</f>
        <v>1</v>
      </c>
      <c r="Y30" s="8">
        <f t="shared" ref="Y30" si="33">IF($G29=1,IF(Y29=".",".",IF((COUNTIF(Z29:AQ29,"1")&gt;0),1-Y29,Y29)),"")</f>
        <v>1</v>
      </c>
    </row>
    <row r="31" spans="4:30" x14ac:dyDescent="0.25">
      <c r="G31" t="s">
        <v>43</v>
      </c>
      <c r="H31" s="3">
        <f>F25</f>
        <v>0</v>
      </c>
      <c r="I31" t="s">
        <v>44</v>
      </c>
      <c r="J31" s="3">
        <f>IF(MOD(SUM(G29:Y29),2)=0,1,0)</f>
        <v>1</v>
      </c>
      <c r="K31" t="s">
        <v>45</v>
      </c>
      <c r="L31" s="3">
        <f>U25</f>
        <v>1</v>
      </c>
      <c r="M31" t="s">
        <v>46</v>
      </c>
      <c r="N31" s="3">
        <f>IF(Z28=0,1,0)</f>
        <v>0</v>
      </c>
      <c r="O31" t="s">
        <v>47</v>
      </c>
      <c r="P31" s="3">
        <f>G29</f>
        <v>1</v>
      </c>
      <c r="Q31" t="s">
        <v>48</v>
      </c>
      <c r="R31" s="3">
        <f>IF(G25&lt;&gt;F25,1,0)</f>
        <v>1</v>
      </c>
    </row>
    <row r="33" spans="4:30" x14ac:dyDescent="0.25">
      <c r="D33" t="s">
        <v>39</v>
      </c>
      <c r="F33">
        <f>IF(G35+G34+G33&gt;1,1,0)</f>
        <v>1</v>
      </c>
      <c r="G33" s="1">
        <f t="shared" ref="G33" si="34">IF(H34=".",H33,IF((H35+H34+H33&gt;1),1,0))</f>
        <v>1</v>
      </c>
      <c r="H33" s="1">
        <f t="shared" ref="H33" si="35">IF(I34=".",I33,IF((I35+I34+I33&gt;1),1,0))</f>
        <v>0</v>
      </c>
      <c r="I33" s="1">
        <f t="shared" ref="I33" si="36">IF(J34=".",J33,IF((J35+J34+J33&gt;1),1,0))</f>
        <v>0</v>
      </c>
      <c r="J33" s="1">
        <f t="shared" ref="J33" si="37">IF(K34=".",K33,IF((K35+K34+K33&gt;1),1,0))</f>
        <v>0</v>
      </c>
      <c r="K33" s="1">
        <f t="shared" ref="K33" si="38">IF(L34=".",L33,IF((L35+L34+L33&gt;1),1,0))</f>
        <v>0</v>
      </c>
      <c r="L33" s="1">
        <f t="shared" ref="L33" si="39">IF(M34=".",M33,IF((M35+M34+M33&gt;1),1,0))</f>
        <v>0</v>
      </c>
      <c r="M33" s="1">
        <f t="shared" ref="M33" si="40">IF(N34=".",N33,IF((N35+N34+N33&gt;1),1,0))</f>
        <v>1</v>
      </c>
      <c r="N33" s="1">
        <f t="shared" ref="N33" si="41">IF(O34=".",O33,IF((O35+O34+O33&gt;1),1,0))</f>
        <v>1</v>
      </c>
      <c r="O33" s="1">
        <f t="shared" ref="O33" si="42">IF(P34=".",P33,IF((P35+P34+P33&gt;1),1,0))</f>
        <v>0</v>
      </c>
      <c r="P33" s="1">
        <f t="shared" ref="P33" si="43">IF(Q34=".",Q33,IF((Q35+Q34+Q33&gt;1),1,0))</f>
        <v>0</v>
      </c>
      <c r="Q33" s="1">
        <f t="shared" ref="Q33" si="44">IF(R34=".",R33,IF((R35+R34+R33&gt;1),1,0))</f>
        <v>0</v>
      </c>
      <c r="R33" s="1">
        <f t="shared" ref="R33" si="45">IF(S34=".",S33,IF((S35+S34+S33&gt;1),1,0))</f>
        <v>0</v>
      </c>
      <c r="S33" s="1">
        <f t="shared" ref="S33" si="46">IF(T34=".",T33,IF((T35+T34+T33&gt;1),1,0))</f>
        <v>0</v>
      </c>
      <c r="T33" s="1">
        <f>IF(U34=".",U33,IF((U35+U34+U33&gt;1),1,0))</f>
        <v>0</v>
      </c>
      <c r="U33" s="1">
        <f t="shared" ref="U33" si="47">IF(V34=".",V33,IF((V35+V34+V33&gt;1),1,0))</f>
        <v>0</v>
      </c>
      <c r="V33" s="1">
        <f t="shared" ref="V33" si="48">IF(W34=".",W33,IF((W35+W34+W33&gt;1),1,0))</f>
        <v>0</v>
      </c>
      <c r="W33" s="1">
        <f t="shared" ref="W33" si="49">IF(X34=".",X33,IF((X35+X34+X33&gt;1),1,0))</f>
        <v>1</v>
      </c>
      <c r="X33" s="1">
        <f t="shared" ref="X33" si="50">IF(Y34=".",Y33,IF((Y35+Y34+Y33&gt;1),1,0))</f>
        <v>0</v>
      </c>
      <c r="Y33" s="1">
        <f t="shared" ref="Y33" si="51">IF(Z34=".",Z33,IF((Z35+Z34+Z33&gt;1),1,0))</f>
        <v>0</v>
      </c>
    </row>
    <row r="34" spans="4:30" x14ac:dyDescent="0.25">
      <c r="D34" t="s">
        <v>51</v>
      </c>
      <c r="G34" s="1" t="str">
        <f>G5</f>
        <v>0</v>
      </c>
      <c r="H34" s="1" t="str">
        <f t="shared" ref="H34:Y34" si="52">H5</f>
        <v>1</v>
      </c>
      <c r="I34" s="1" t="str">
        <f t="shared" si="52"/>
        <v>0</v>
      </c>
      <c r="J34" s="1" t="str">
        <f t="shared" si="52"/>
        <v>0</v>
      </c>
      <c r="K34" s="1" t="str">
        <f t="shared" si="52"/>
        <v>.</v>
      </c>
      <c r="L34" s="1" t="str">
        <f t="shared" si="52"/>
        <v>0</v>
      </c>
      <c r="M34" s="1" t="str">
        <f t="shared" si="52"/>
        <v>0</v>
      </c>
      <c r="N34" s="1" t="str">
        <f t="shared" si="52"/>
        <v>1</v>
      </c>
      <c r="O34" s="1" t="str">
        <f t="shared" si="52"/>
        <v>1</v>
      </c>
      <c r="P34" s="1" t="str">
        <f t="shared" si="52"/>
        <v>.</v>
      </c>
      <c r="Q34" s="1" t="str">
        <f t="shared" si="52"/>
        <v>0</v>
      </c>
      <c r="R34" s="1" t="str">
        <f t="shared" si="52"/>
        <v>0</v>
      </c>
      <c r="S34" s="1" t="str">
        <f t="shared" si="52"/>
        <v>0</v>
      </c>
      <c r="T34" s="1" t="str">
        <f t="shared" si="52"/>
        <v>1</v>
      </c>
      <c r="U34" s="1" t="str">
        <f t="shared" si="52"/>
        <v>.</v>
      </c>
      <c r="V34" s="1" t="str">
        <f t="shared" si="52"/>
        <v>1</v>
      </c>
      <c r="W34" s="1" t="str">
        <f t="shared" si="52"/>
        <v>0</v>
      </c>
      <c r="X34" s="1" t="str">
        <f t="shared" si="52"/>
        <v>1</v>
      </c>
      <c r="Y34" s="1" t="str">
        <f t="shared" si="52"/>
        <v>0</v>
      </c>
      <c r="AB34">
        <f>C5</f>
        <v>17178</v>
      </c>
      <c r="AD34" t="str">
        <f>IF(H39=1,IF(R39=1,"Произошел перенос из старшего разряда и переполнение","Произошёл перенос из старшего разряда"),IF(R39=1,"Произошло переполнение","все нормально"))</f>
        <v>Произошёл перенос из старшего разряда</v>
      </c>
    </row>
    <row r="35" spans="4:30" x14ac:dyDescent="0.25">
      <c r="D35" s="4" t="s">
        <v>54</v>
      </c>
      <c r="G35" s="1">
        <f>G10</f>
        <v>1</v>
      </c>
      <c r="H35" s="1">
        <f t="shared" ref="H35:Y35" si="53">H10</f>
        <v>1</v>
      </c>
      <c r="I35" s="1">
        <f t="shared" si="53"/>
        <v>1</v>
      </c>
      <c r="J35" s="1">
        <f t="shared" si="53"/>
        <v>0</v>
      </c>
      <c r="K35" s="1" t="str">
        <f t="shared" si="53"/>
        <v>.</v>
      </c>
      <c r="L35" s="1">
        <f t="shared" si="53"/>
        <v>0</v>
      </c>
      <c r="M35" s="1">
        <f t="shared" si="53"/>
        <v>0</v>
      </c>
      <c r="N35" s="1">
        <f t="shared" si="53"/>
        <v>1</v>
      </c>
      <c r="O35" s="1">
        <f t="shared" si="53"/>
        <v>1</v>
      </c>
      <c r="P35" s="1" t="str">
        <f t="shared" si="53"/>
        <v>.</v>
      </c>
      <c r="Q35" s="1">
        <f t="shared" si="53"/>
        <v>0</v>
      </c>
      <c r="R35" s="1">
        <f t="shared" si="53"/>
        <v>0</v>
      </c>
      <c r="S35" s="1">
        <f t="shared" si="53"/>
        <v>1</v>
      </c>
      <c r="T35" s="1">
        <f t="shared" si="53"/>
        <v>0</v>
      </c>
      <c r="U35" s="1" t="str">
        <f t="shared" si="53"/>
        <v>.</v>
      </c>
      <c r="V35" s="1">
        <f t="shared" si="53"/>
        <v>0</v>
      </c>
      <c r="W35" s="1">
        <f t="shared" si="53"/>
        <v>0</v>
      </c>
      <c r="X35" s="1">
        <f t="shared" si="53"/>
        <v>1</v>
      </c>
      <c r="Y35" s="1" t="str">
        <f t="shared" si="53"/>
        <v>1</v>
      </c>
      <c r="AA35" s="7" t="s">
        <v>49</v>
      </c>
      <c r="AB35">
        <f>C10</f>
        <v>-7389</v>
      </c>
    </row>
    <row r="36" spans="4:30" x14ac:dyDescent="0.25">
      <c r="G36" s="6" t="s">
        <v>42</v>
      </c>
      <c r="H36" s="6" t="s">
        <v>42</v>
      </c>
      <c r="I36" s="6" t="s">
        <v>42</v>
      </c>
      <c r="J36" s="6" t="s">
        <v>42</v>
      </c>
      <c r="K36" s="6" t="s">
        <v>42</v>
      </c>
      <c r="L36" s="6" t="s">
        <v>42</v>
      </c>
      <c r="M36" s="6" t="s">
        <v>42</v>
      </c>
      <c r="N36" s="6" t="s">
        <v>42</v>
      </c>
      <c r="O36" s="6" t="s">
        <v>42</v>
      </c>
      <c r="P36" s="6" t="s">
        <v>42</v>
      </c>
      <c r="Q36" s="6" t="s">
        <v>42</v>
      </c>
      <c r="R36" s="6" t="s">
        <v>42</v>
      </c>
      <c r="S36" s="6" t="s">
        <v>42</v>
      </c>
      <c r="T36" s="6" t="s">
        <v>42</v>
      </c>
      <c r="U36" s="6" t="s">
        <v>42</v>
      </c>
      <c r="V36" s="6" t="s">
        <v>42</v>
      </c>
      <c r="W36" s="6" t="s">
        <v>42</v>
      </c>
      <c r="X36" s="6" t="s">
        <v>42</v>
      </c>
      <c r="Y36" s="6" t="s">
        <v>42</v>
      </c>
      <c r="Z36">
        <f>IF(G37=0,_xlfn.DECIMAL(G37&amp;H37&amp;I37&amp;J37&amp;L37&amp;M37&amp;N37&amp;O37&amp;Q37&amp;R37&amp;S37&amp;T37&amp;V37&amp;W37&amp;X37&amp;Y37,2),-_xlfn.DECIMAL(H38&amp;I38&amp;J38&amp;L38&amp;M38&amp;N38&amp;O38&amp;Q38&amp;R38&amp;S38&amp;T38&amp;V38&amp;W38&amp;X38&amp;Y38,2))</f>
        <v>9789</v>
      </c>
      <c r="AB36" s="6" t="s">
        <v>53</v>
      </c>
    </row>
    <row r="37" spans="4:30" x14ac:dyDescent="0.25">
      <c r="G37" s="1">
        <f t="shared" ref="G37:S37" si="54">IF(G35=".",".",IF(MOD(G35+G34+G33,2)=1,1,0))</f>
        <v>0</v>
      </c>
      <c r="H37" s="1">
        <f t="shared" si="54"/>
        <v>0</v>
      </c>
      <c r="I37" s="1">
        <f t="shared" si="54"/>
        <v>1</v>
      </c>
      <c r="J37" s="1">
        <f t="shared" si="54"/>
        <v>0</v>
      </c>
      <c r="K37" s="1" t="str">
        <f t="shared" si="54"/>
        <v>.</v>
      </c>
      <c r="L37" s="1">
        <f t="shared" si="54"/>
        <v>0</v>
      </c>
      <c r="M37" s="1">
        <f t="shared" si="54"/>
        <v>1</v>
      </c>
      <c r="N37" s="1">
        <f t="shared" si="54"/>
        <v>1</v>
      </c>
      <c r="O37" s="1">
        <f t="shared" si="54"/>
        <v>0</v>
      </c>
      <c r="P37" s="1" t="str">
        <f t="shared" si="54"/>
        <v>.</v>
      </c>
      <c r="Q37" s="1">
        <f t="shared" si="54"/>
        <v>0</v>
      </c>
      <c r="R37" s="1">
        <f t="shared" si="54"/>
        <v>0</v>
      </c>
      <c r="S37" s="1">
        <f t="shared" si="54"/>
        <v>1</v>
      </c>
      <c r="T37" s="1">
        <f>IF(T35=".",".",IF(MOD(T35+T34+T33,2)=1,1,0))</f>
        <v>1</v>
      </c>
      <c r="U37" s="1" t="str">
        <f t="shared" ref="U37:Y37" si="55">IF(U35=".",".",IF(MOD(U35+U34+U33,2)=1,1,0))</f>
        <v>.</v>
      </c>
      <c r="V37" s="1">
        <f t="shared" si="55"/>
        <v>1</v>
      </c>
      <c r="W37" s="1">
        <f t="shared" si="55"/>
        <v>1</v>
      </c>
      <c r="X37" s="1">
        <f t="shared" si="55"/>
        <v>0</v>
      </c>
      <c r="Y37" s="1">
        <f t="shared" si="55"/>
        <v>1</v>
      </c>
      <c r="Z37" s="1"/>
      <c r="AB37">
        <f>AB34+AB35</f>
        <v>9789</v>
      </c>
    </row>
    <row r="38" spans="4:30" x14ac:dyDescent="0.25">
      <c r="D38" t="s">
        <v>50</v>
      </c>
      <c r="G38" s="8" t="str">
        <f>IF($G37=1,IF(G37=".",".",IF((COUNTIF(H37:Y37,"1")&gt;0),1-G37,G37)),"")</f>
        <v/>
      </c>
      <c r="H38" s="8" t="str">
        <f t="shared" ref="H38" si="56">IF($G37=1,IF(H37=".",".",IF((COUNTIF(I37:Z37,"1")&gt;0),1-H37,H37)),"")</f>
        <v/>
      </c>
      <c r="I38" s="8" t="str">
        <f t="shared" ref="I38" si="57">IF($G37=1,IF(I37=".",".",IF((COUNTIF(J37:AA37,"1")&gt;0),1-I37,I37)),"")</f>
        <v/>
      </c>
      <c r="J38" s="8" t="str">
        <f t="shared" ref="J38" si="58">IF($G37=1,IF(J37=".",".",IF((COUNTIF(K37:AB37,"1")&gt;0),1-J37,J37)),"")</f>
        <v/>
      </c>
      <c r="K38" s="8" t="str">
        <f t="shared" ref="K38" si="59">IF($G37=1,IF(K37=".",".",IF((COUNTIF(L37:AC37,"1")&gt;0),1-K37,K37)),"")</f>
        <v/>
      </c>
      <c r="L38" s="8" t="str">
        <f t="shared" ref="L38" si="60">IF($G37=1,IF(L37=".",".",IF((COUNTIF(M37:AD37,"1")&gt;0),1-L37,L37)),"")</f>
        <v/>
      </c>
      <c r="M38" s="8" t="str">
        <f t="shared" ref="M38" si="61">IF($G37=1,IF(M37=".",".",IF((COUNTIF(N37:AE37,"1")&gt;0),1-M37,M37)),"")</f>
        <v/>
      </c>
      <c r="N38" s="8" t="str">
        <f t="shared" ref="N38" si="62">IF($G37=1,IF(N37=".",".",IF((COUNTIF(O37:AF37,"1")&gt;0),1-N37,N37)),"")</f>
        <v/>
      </c>
      <c r="O38" s="8" t="str">
        <f t="shared" ref="O38" si="63">IF($G37=1,IF(O37=".",".",IF((COUNTIF(P37:AG37,"1")&gt;0),1-O37,O37)),"")</f>
        <v/>
      </c>
      <c r="P38" s="8" t="str">
        <f t="shared" ref="P38" si="64">IF($G37=1,IF(P37=".",".",IF((COUNTIF(Q37:AH37,"1")&gt;0),1-P37,P37)),"")</f>
        <v/>
      </c>
      <c r="Q38" s="8" t="str">
        <f t="shared" ref="Q38" si="65">IF($G37=1,IF(Q37=".",".",IF((COUNTIF(R37:AI37,"1")&gt;0),1-Q37,Q37)),"")</f>
        <v/>
      </c>
      <c r="R38" s="8" t="str">
        <f t="shared" ref="R38" si="66">IF($G37=1,IF(R37=".",".",IF((COUNTIF(S37:AJ37,"1")&gt;0),1-R37,R37)),"")</f>
        <v/>
      </c>
      <c r="S38" s="8" t="str">
        <f t="shared" ref="S38" si="67">IF($G37=1,IF(S37=".",".",IF((COUNTIF(T37:AK37,"1")&gt;0),1-S37,S37)),"")</f>
        <v/>
      </c>
      <c r="T38" s="8" t="str">
        <f t="shared" ref="T38" si="68">IF($G37=1,IF(T37=".",".",IF((COUNTIF(U37:AL37,"1")&gt;0),1-T37,T37)),"")</f>
        <v/>
      </c>
      <c r="U38" s="8" t="str">
        <f t="shared" ref="U38" si="69">IF($G37=1,IF(U37=".",".",IF((COUNTIF(V37:AM37,"1")&gt;0),1-U37,U37)),"")</f>
        <v/>
      </c>
      <c r="V38" s="8" t="str">
        <f t="shared" ref="V38" si="70">IF($G37=1,IF(V37=".",".",IF((COUNTIF(W37:AN37,"1")&gt;0),1-V37,V37)),"")</f>
        <v/>
      </c>
      <c r="W38" s="8" t="str">
        <f t="shared" ref="W38" si="71">IF($G37=1,IF(W37=".",".",IF((COUNTIF(X37:AO37,"1")&gt;0),1-W37,W37)),"")</f>
        <v/>
      </c>
      <c r="X38" s="8" t="str">
        <f t="shared" ref="X38" si="72">IF($G37=1,IF(X37=".",".",IF((COUNTIF(Y37:AP37,"1")&gt;0),1-X37,X37)),"")</f>
        <v/>
      </c>
      <c r="Y38" s="8" t="str">
        <f t="shared" ref="Y38" si="73">IF($G37=1,IF(Y37=".",".",IF((COUNTIF(Z37:AQ37,"1")&gt;0),1-Y37,Y37)),"")</f>
        <v/>
      </c>
    </row>
    <row r="39" spans="4:30" x14ac:dyDescent="0.25">
      <c r="G39" t="s">
        <v>43</v>
      </c>
      <c r="H39" s="3">
        <f>F33</f>
        <v>1</v>
      </c>
      <c r="I39" t="s">
        <v>44</v>
      </c>
      <c r="J39" s="3">
        <f>IF(MOD(SUM(G37:Y37),2)=0,1,0)</f>
        <v>1</v>
      </c>
      <c r="K39" t="s">
        <v>45</v>
      </c>
      <c r="L39" s="3">
        <f>U33</f>
        <v>0</v>
      </c>
      <c r="M39" t="s">
        <v>46</v>
      </c>
      <c r="N39" s="3">
        <f>IF(Z36=0,1,0)</f>
        <v>0</v>
      </c>
      <c r="O39" t="s">
        <v>47</v>
      </c>
      <c r="P39" s="3">
        <f>G37</f>
        <v>0</v>
      </c>
      <c r="Q39" t="s">
        <v>48</v>
      </c>
      <c r="R39" s="3">
        <f>IF(G33&lt;&gt;F33,1,0)</f>
        <v>0</v>
      </c>
    </row>
    <row r="41" spans="4:30" x14ac:dyDescent="0.25">
      <c r="D41" t="s">
        <v>39</v>
      </c>
      <c r="F41">
        <f>IF(G43+G42+G41&gt;1,1,0)</f>
        <v>1</v>
      </c>
      <c r="G41" s="1">
        <f t="shared" ref="G41" si="74">IF(H42=".",H41,IF((H43+H42+H41&gt;1),1,0))</f>
        <v>1</v>
      </c>
      <c r="H41" s="1">
        <f t="shared" ref="H41" si="75">IF(I42=".",I41,IF((I43+I42+I41&gt;1),1,0))</f>
        <v>1</v>
      </c>
      <c r="I41" s="1">
        <f t="shared" ref="I41" si="76">IF(J42=".",J41,IF((J43+J42+J41&gt;1),1,0))</f>
        <v>1</v>
      </c>
      <c r="J41" s="1">
        <f t="shared" ref="J41" si="77">IF(K42=".",K41,IF((K43+K42+K41&gt;1),1,0))</f>
        <v>1</v>
      </c>
      <c r="K41" s="1">
        <f t="shared" ref="K41" si="78">IF(L42=".",L41,IF((L43+L42+L41&gt;1),1,0))</f>
        <v>1</v>
      </c>
      <c r="L41" s="1">
        <f t="shared" ref="L41" si="79">IF(M42=".",M41,IF((M43+M42+M41&gt;1),1,0))</f>
        <v>1</v>
      </c>
      <c r="M41" s="1">
        <f t="shared" ref="M41" si="80">IF(N42=".",N41,IF((N43+N42+N41&gt;1),1,0))</f>
        <v>1</v>
      </c>
      <c r="N41" s="1">
        <f t="shared" ref="N41" si="81">IF(O42=".",O41,IF((O43+O42+O41&gt;1),1,0))</f>
        <v>1</v>
      </c>
      <c r="O41" s="1">
        <f t="shared" ref="O41" si="82">IF(P42=".",P41,IF((P43+P42+P41&gt;1),1,0))</f>
        <v>1</v>
      </c>
      <c r="P41" s="1">
        <f t="shared" ref="P41" si="83">IF(Q42=".",Q41,IF((Q43+Q42+Q41&gt;1),1,0))</f>
        <v>1</v>
      </c>
      <c r="Q41" s="1">
        <f t="shared" ref="Q41" si="84">IF(R42=".",R41,IF((R43+R42+R41&gt;1),1,0))</f>
        <v>1</v>
      </c>
      <c r="R41" s="1">
        <f t="shared" ref="R41" si="85">IF(S42=".",S41,IF((S43+S42+S41&gt;1),1,0))</f>
        <v>1</v>
      </c>
      <c r="S41" s="1">
        <f t="shared" ref="S41" si="86">IF(T42=".",T41,IF((T43+T42+T41&gt;1),1,0))</f>
        <v>0</v>
      </c>
      <c r="T41" s="1">
        <f>IF(U42=".",U41,IF((U43+U42+U41&gt;1),1,0))</f>
        <v>0</v>
      </c>
      <c r="U41" s="1">
        <f t="shared" ref="U41" si="87">IF(V42=".",V41,IF((V43+V42+V41&gt;1),1,0))</f>
        <v>0</v>
      </c>
      <c r="V41" s="1">
        <f t="shared" ref="V41" si="88">IF(W42=".",W41,IF((W43+W42+W41&gt;1),1,0))</f>
        <v>1</v>
      </c>
      <c r="W41" s="1">
        <f t="shared" ref="W41" si="89">IF(X42=".",X41,IF((X43+X42+X41&gt;1),1,0))</f>
        <v>1</v>
      </c>
      <c r="X41" s="1">
        <f t="shared" ref="X41" si="90">IF(Y42=".",Y41,IF((Y43+Y42+Y41&gt;1),1,0))</f>
        <v>0</v>
      </c>
      <c r="Y41" s="1">
        <f t="shared" ref="Y41" si="91">IF(Z42=".",Z41,IF((Z43+Z42+Z41&gt;1),1,0))</f>
        <v>0</v>
      </c>
    </row>
    <row r="42" spans="4:30" x14ac:dyDescent="0.25">
      <c r="D42" t="s">
        <v>55</v>
      </c>
      <c r="G42" s="1">
        <f>G10</f>
        <v>1</v>
      </c>
      <c r="H42" s="1">
        <f t="shared" ref="H42:Y42" si="92">H10</f>
        <v>1</v>
      </c>
      <c r="I42" s="1">
        <f t="shared" si="92"/>
        <v>1</v>
      </c>
      <c r="J42" s="1">
        <f t="shared" si="92"/>
        <v>0</v>
      </c>
      <c r="K42" s="1" t="str">
        <f t="shared" si="92"/>
        <v>.</v>
      </c>
      <c r="L42" s="1">
        <f t="shared" si="92"/>
        <v>0</v>
      </c>
      <c r="M42" s="1">
        <f t="shared" si="92"/>
        <v>0</v>
      </c>
      <c r="N42" s="1">
        <f t="shared" si="92"/>
        <v>1</v>
      </c>
      <c r="O42" s="1">
        <f t="shared" si="92"/>
        <v>1</v>
      </c>
      <c r="P42" s="1" t="str">
        <f t="shared" si="92"/>
        <v>.</v>
      </c>
      <c r="Q42" s="1">
        <f t="shared" si="92"/>
        <v>0</v>
      </c>
      <c r="R42" s="1">
        <f t="shared" si="92"/>
        <v>0</v>
      </c>
      <c r="S42" s="1">
        <f t="shared" si="92"/>
        <v>1</v>
      </c>
      <c r="T42" s="1">
        <f t="shared" si="92"/>
        <v>0</v>
      </c>
      <c r="U42" s="1" t="str">
        <f t="shared" si="92"/>
        <v>.</v>
      </c>
      <c r="V42" s="1">
        <f t="shared" si="92"/>
        <v>0</v>
      </c>
      <c r="W42" s="1">
        <f t="shared" si="92"/>
        <v>0</v>
      </c>
      <c r="X42" s="1">
        <f t="shared" si="92"/>
        <v>1</v>
      </c>
      <c r="Y42" s="1" t="str">
        <f t="shared" si="92"/>
        <v>1</v>
      </c>
      <c r="AB42">
        <f>C10</f>
        <v>-7389</v>
      </c>
      <c r="AD42" t="str">
        <f>IF(H47=1,IF(R47=1,"Произошел перенос из старшего разряда и переполнение","Произошёл перенос из старшего разряда"),IF(R47=1,"Произошло переполнение","все нормально"))</f>
        <v>Произошёл перенос из старшего разряда</v>
      </c>
    </row>
    <row r="43" spans="4:30" x14ac:dyDescent="0.25">
      <c r="D43" s="4" t="s">
        <v>56</v>
      </c>
      <c r="G43" s="1">
        <f>G11</f>
        <v>1</v>
      </c>
      <c r="H43" s="1">
        <f t="shared" ref="H43:Y43" si="93">H11</f>
        <v>0</v>
      </c>
      <c r="I43" s="1">
        <f t="shared" si="93"/>
        <v>1</v>
      </c>
      <c r="J43" s="1">
        <f t="shared" si="93"/>
        <v>1</v>
      </c>
      <c r="K43" s="1" t="str">
        <f t="shared" si="93"/>
        <v>.</v>
      </c>
      <c r="L43" s="1">
        <f t="shared" si="93"/>
        <v>1</v>
      </c>
      <c r="M43" s="1">
        <f t="shared" si="93"/>
        <v>1</v>
      </c>
      <c r="N43" s="1">
        <f t="shared" si="93"/>
        <v>0</v>
      </c>
      <c r="O43" s="1">
        <f t="shared" si="93"/>
        <v>0</v>
      </c>
      <c r="P43" s="1" t="str">
        <f t="shared" si="93"/>
        <v>.</v>
      </c>
      <c r="Q43" s="1">
        <f t="shared" si="93"/>
        <v>1</v>
      </c>
      <c r="R43" s="1">
        <f t="shared" si="93"/>
        <v>1</v>
      </c>
      <c r="S43" s="1">
        <f t="shared" si="93"/>
        <v>1</v>
      </c>
      <c r="T43" s="1">
        <f t="shared" si="93"/>
        <v>0</v>
      </c>
      <c r="U43" s="1" t="str">
        <f t="shared" si="93"/>
        <v>.</v>
      </c>
      <c r="V43" s="1">
        <f t="shared" si="93"/>
        <v>0</v>
      </c>
      <c r="W43" s="1">
        <f t="shared" si="93"/>
        <v>1</v>
      </c>
      <c r="X43" s="1" t="str">
        <f t="shared" si="93"/>
        <v>1</v>
      </c>
      <c r="Y43" s="1" t="str">
        <f t="shared" si="93"/>
        <v>0</v>
      </c>
      <c r="AA43" s="7" t="s">
        <v>49</v>
      </c>
      <c r="AB43">
        <f>C11</f>
        <v>-17178</v>
      </c>
    </row>
    <row r="44" spans="4:30" x14ac:dyDescent="0.25">
      <c r="G44" s="6" t="s">
        <v>42</v>
      </c>
      <c r="H44" s="6" t="s">
        <v>42</v>
      </c>
      <c r="I44" s="6" t="s">
        <v>42</v>
      </c>
      <c r="J44" s="6" t="s">
        <v>42</v>
      </c>
      <c r="K44" s="6" t="s">
        <v>42</v>
      </c>
      <c r="L44" s="6" t="s">
        <v>42</v>
      </c>
      <c r="M44" s="6" t="s">
        <v>42</v>
      </c>
      <c r="N44" s="6" t="s">
        <v>42</v>
      </c>
      <c r="O44" s="6" t="s">
        <v>42</v>
      </c>
      <c r="P44" s="6" t="s">
        <v>42</v>
      </c>
      <c r="Q44" s="6" t="s">
        <v>42</v>
      </c>
      <c r="R44" s="6" t="s">
        <v>42</v>
      </c>
      <c r="S44" s="6" t="s">
        <v>42</v>
      </c>
      <c r="T44" s="6" t="s">
        <v>42</v>
      </c>
      <c r="U44" s="6" t="s">
        <v>42</v>
      </c>
      <c r="V44" s="6" t="s">
        <v>42</v>
      </c>
      <c r="W44" s="6" t="s">
        <v>42</v>
      </c>
      <c r="X44" s="6" t="s">
        <v>42</v>
      </c>
      <c r="Y44" s="6" t="s">
        <v>42</v>
      </c>
      <c r="Z44">
        <f>IF(G45=0,_xlfn.DECIMAL(G45&amp;H45&amp;I45&amp;J45&amp;L45&amp;M45&amp;N45&amp;O45&amp;Q45&amp;R45&amp;S45&amp;T45&amp;V45&amp;W45&amp;X45&amp;Y45,2),-_xlfn.DECIMAL(H46&amp;I46&amp;J46&amp;L46&amp;M46&amp;N46&amp;O46&amp;Q46&amp;R46&amp;S46&amp;T46&amp;V46&amp;W46&amp;X46&amp;Y46,2))</f>
        <v>-24567</v>
      </c>
      <c r="AB44" s="6" t="s">
        <v>53</v>
      </c>
    </row>
    <row r="45" spans="4:30" x14ac:dyDescent="0.25">
      <c r="G45" s="1">
        <f t="shared" ref="G45:S45" si="94">IF(G43=".",".",IF(MOD(G43+G42+G41,2)=1,1,0))</f>
        <v>1</v>
      </c>
      <c r="H45" s="1">
        <f t="shared" si="94"/>
        <v>0</v>
      </c>
      <c r="I45" s="1">
        <f t="shared" si="94"/>
        <v>1</v>
      </c>
      <c r="J45" s="1">
        <f t="shared" si="94"/>
        <v>0</v>
      </c>
      <c r="K45" s="1" t="str">
        <f t="shared" si="94"/>
        <v>.</v>
      </c>
      <c r="L45" s="1">
        <f t="shared" si="94"/>
        <v>0</v>
      </c>
      <c r="M45" s="1">
        <f t="shared" si="94"/>
        <v>0</v>
      </c>
      <c r="N45" s="1">
        <f t="shared" si="94"/>
        <v>0</v>
      </c>
      <c r="O45" s="1">
        <f t="shared" si="94"/>
        <v>0</v>
      </c>
      <c r="P45" s="1" t="str">
        <f t="shared" si="94"/>
        <v>.</v>
      </c>
      <c r="Q45" s="1">
        <f t="shared" si="94"/>
        <v>0</v>
      </c>
      <c r="R45" s="1">
        <f t="shared" si="94"/>
        <v>0</v>
      </c>
      <c r="S45" s="1">
        <f t="shared" si="94"/>
        <v>0</v>
      </c>
      <c r="T45" s="1">
        <f>IF(T43=".",".",IF(MOD(T43+T42+T41,2)=1,1,0))</f>
        <v>0</v>
      </c>
      <c r="U45" s="1" t="str">
        <f t="shared" ref="U45:Y45" si="95">IF(U43=".",".",IF(MOD(U43+U42+U41,2)=1,1,0))</f>
        <v>.</v>
      </c>
      <c r="V45" s="1">
        <f t="shared" si="95"/>
        <v>1</v>
      </c>
      <c r="W45" s="1">
        <f t="shared" si="95"/>
        <v>0</v>
      </c>
      <c r="X45" s="1">
        <f t="shared" si="95"/>
        <v>0</v>
      </c>
      <c r="Y45" s="1">
        <f t="shared" si="95"/>
        <v>1</v>
      </c>
      <c r="Z45" s="1"/>
      <c r="AB45">
        <f>AB42+AB43</f>
        <v>-24567</v>
      </c>
    </row>
    <row r="46" spans="4:30" x14ac:dyDescent="0.25">
      <c r="D46" t="s">
        <v>50</v>
      </c>
      <c r="G46" s="8">
        <f>IF($G45=1,IF(G45=".",".",IF((COUNTIF(H45:Y45,"1")&gt;0),1-G45,G45)),"")</f>
        <v>0</v>
      </c>
      <c r="H46" s="8">
        <f t="shared" ref="H46" si="96">IF($G45=1,IF(H45=".",".",IF((COUNTIF(I45:Z45,"1")&gt;0),1-H45,H45)),"")</f>
        <v>1</v>
      </c>
      <c r="I46" s="8">
        <f t="shared" ref="I46" si="97">IF($G45=1,IF(I45=".",".",IF((COUNTIF(J45:AA45,"1")&gt;0),1-I45,I45)),"")</f>
        <v>0</v>
      </c>
      <c r="J46" s="8">
        <f t="shared" ref="J46" si="98">IF($G45=1,IF(J45=".",".",IF((COUNTIF(K45:AB45,"1")&gt;0),1-J45,J45)),"")</f>
        <v>1</v>
      </c>
      <c r="K46" s="8" t="str">
        <f t="shared" ref="K46" si="99">IF($G45=1,IF(K45=".",".",IF((COUNTIF(L45:AC45,"1")&gt;0),1-K45,K45)),"")</f>
        <v>.</v>
      </c>
      <c r="L46" s="8">
        <f t="shared" ref="L46" si="100">IF($G45=1,IF(L45=".",".",IF((COUNTIF(M45:AD45,"1")&gt;0),1-L45,L45)),"")</f>
        <v>1</v>
      </c>
      <c r="M46" s="8">
        <f t="shared" ref="M46" si="101">IF($G45=1,IF(M45=".",".",IF((COUNTIF(N45:AE45,"1")&gt;0),1-M45,M45)),"")</f>
        <v>1</v>
      </c>
      <c r="N46" s="8">
        <f t="shared" ref="N46" si="102">IF($G45=1,IF(N45=".",".",IF((COUNTIF(O45:AF45,"1")&gt;0),1-N45,N45)),"")</f>
        <v>1</v>
      </c>
      <c r="O46" s="8">
        <f t="shared" ref="O46" si="103">IF($G45=1,IF(O45=".",".",IF((COUNTIF(P45:AG45,"1")&gt;0),1-O45,O45)),"")</f>
        <v>1</v>
      </c>
      <c r="P46" s="8" t="str">
        <f t="shared" ref="P46" si="104">IF($G45=1,IF(P45=".",".",IF((COUNTIF(Q45:AH45,"1")&gt;0),1-P45,P45)),"")</f>
        <v>.</v>
      </c>
      <c r="Q46" s="8">
        <f t="shared" ref="Q46" si="105">IF($G45=1,IF(Q45=".",".",IF((COUNTIF(R45:AI45,"1")&gt;0),1-Q45,Q45)),"")</f>
        <v>1</v>
      </c>
      <c r="R46" s="8">
        <f t="shared" ref="R46" si="106">IF($G45=1,IF(R45=".",".",IF((COUNTIF(S45:AJ45,"1")&gt;0),1-R45,R45)),"")</f>
        <v>1</v>
      </c>
      <c r="S46" s="8">
        <f t="shared" ref="S46" si="107">IF($G45=1,IF(S45=".",".",IF((COUNTIF(T45:AK45,"1")&gt;0),1-S45,S45)),"")</f>
        <v>1</v>
      </c>
      <c r="T46" s="8">
        <f t="shared" ref="T46" si="108">IF($G45=1,IF(T45=".",".",IF((COUNTIF(U45:AL45,"1")&gt;0),1-T45,T45)),"")</f>
        <v>1</v>
      </c>
      <c r="U46" s="8" t="str">
        <f t="shared" ref="U46" si="109">IF($G45=1,IF(U45=".",".",IF((COUNTIF(V45:AM45,"1")&gt;0),1-U45,U45)),"")</f>
        <v>.</v>
      </c>
      <c r="V46" s="8">
        <f t="shared" ref="V46" si="110">IF($G45=1,IF(V45=".",".",IF((COUNTIF(W45:AN45,"1")&gt;0),1-V45,V45)),"")</f>
        <v>0</v>
      </c>
      <c r="W46" s="8">
        <f t="shared" ref="W46" si="111">IF($G45=1,IF(W45=".",".",IF((COUNTIF(X45:AO45,"1")&gt;0),1-W45,W45)),"")</f>
        <v>1</v>
      </c>
      <c r="X46" s="8">
        <f t="shared" ref="X46" si="112">IF($G45=1,IF(X45=".",".",IF((COUNTIF(Y45:AP45,"1")&gt;0),1-X45,X45)),"")</f>
        <v>1</v>
      </c>
      <c r="Y46" s="8">
        <f t="shared" ref="Y46" si="113">IF($G45=1,IF(Y45=".",".",IF((COUNTIF(Z45:AQ45,"1")&gt;0),1-Y45,Y45)),"")</f>
        <v>1</v>
      </c>
    </row>
    <row r="47" spans="4:30" x14ac:dyDescent="0.25">
      <c r="G47" t="s">
        <v>43</v>
      </c>
      <c r="H47" s="3">
        <f>F41</f>
        <v>1</v>
      </c>
      <c r="I47" t="s">
        <v>44</v>
      </c>
      <c r="J47" s="3">
        <f>IF(MOD(SUM(G45:Y45),2)=0,1,0)</f>
        <v>1</v>
      </c>
      <c r="K47" t="s">
        <v>45</v>
      </c>
      <c r="L47" s="3">
        <f>U41</f>
        <v>0</v>
      </c>
      <c r="M47" t="s">
        <v>46</v>
      </c>
      <c r="N47" s="3">
        <f>IF(Z44=0,1,0)</f>
        <v>0</v>
      </c>
      <c r="O47" t="s">
        <v>47</v>
      </c>
      <c r="P47" s="3">
        <f>G45</f>
        <v>1</v>
      </c>
      <c r="Q47" t="s">
        <v>48</v>
      </c>
      <c r="R47" s="3">
        <f>IF(G41&lt;&gt;F41,1,0)</f>
        <v>0</v>
      </c>
    </row>
    <row r="49" spans="4:30" x14ac:dyDescent="0.25">
      <c r="D49" t="s">
        <v>39</v>
      </c>
      <c r="F49">
        <f>IF(G51+G50+G49&gt;1,1,0)</f>
        <v>1</v>
      </c>
      <c r="G49" s="1">
        <f t="shared" ref="G49" si="114">IF(H50=".",H49,IF((H51+H50+H49&gt;1),1,0))</f>
        <v>0</v>
      </c>
      <c r="H49" s="1">
        <f t="shared" ref="H49" si="115">IF(I50=".",I49,IF((I51+I50+I49&gt;1),1,0))</f>
        <v>1</v>
      </c>
      <c r="I49" s="1">
        <f t="shared" ref="I49" si="116">IF(J50=".",J49,IF((J51+J50+J49&gt;1),1,0))</f>
        <v>0</v>
      </c>
      <c r="J49" s="1">
        <f t="shared" ref="J49" si="117">IF(K50=".",K49,IF((K51+K50+K49&gt;1),1,0))</f>
        <v>0</v>
      </c>
      <c r="K49" s="1">
        <f t="shared" ref="K49" si="118">IF(L50=".",L49,IF((L51+L50+L49&gt;1),1,0))</f>
        <v>0</v>
      </c>
      <c r="L49" s="1">
        <f t="shared" ref="L49" si="119">IF(M50=".",M49,IF((M51+M50+M49&gt;1),1,0))</f>
        <v>0</v>
      </c>
      <c r="M49" s="1">
        <f t="shared" ref="M49" si="120">IF(N50=".",N49,IF((N51+N50+N49&gt;1),1,0))</f>
        <v>0</v>
      </c>
      <c r="N49" s="1">
        <f t="shared" ref="N49" si="121">IF(O50=".",O49,IF((O51+O50+O49&gt;1),1,0))</f>
        <v>0</v>
      </c>
      <c r="O49" s="1">
        <f t="shared" ref="O49" si="122">IF(P50=".",P49,IF((P51+P50+P49&gt;1),1,0))</f>
        <v>0</v>
      </c>
      <c r="P49" s="1">
        <f t="shared" ref="P49" si="123">IF(Q50=".",Q49,IF((Q51+Q50+Q49&gt;1),1,0))</f>
        <v>0</v>
      </c>
      <c r="Q49" s="1">
        <f t="shared" ref="Q49" si="124">IF(R50=".",R49,IF((R51+R50+R49&gt;1),1,0))</f>
        <v>0</v>
      </c>
      <c r="R49" s="1">
        <f t="shared" ref="R49" si="125">IF(S50=".",S49,IF((S51+S50+S49&gt;1),1,0))</f>
        <v>0</v>
      </c>
      <c r="S49" s="1">
        <f t="shared" ref="S49" si="126">IF(T50=".",T49,IF((T51+T50+T49&gt;1),1,0))</f>
        <v>0</v>
      </c>
      <c r="T49" s="1">
        <f>IF(U50=".",U49,IF((U51+U50+U49&gt;1),1,0))</f>
        <v>0</v>
      </c>
      <c r="U49" s="1">
        <f t="shared" ref="U49" si="127">IF(V50=".",V49,IF((V51+V50+V49&gt;1),1,0))</f>
        <v>0</v>
      </c>
      <c r="V49" s="1">
        <f t="shared" ref="V49" si="128">IF(W50=".",W49,IF((W51+W50+W49&gt;1),1,0))</f>
        <v>0</v>
      </c>
      <c r="W49" s="1">
        <f t="shared" ref="W49" si="129">IF(X50=".",X49,IF((X51+X50+X49&gt;1),1,0))</f>
        <v>0</v>
      </c>
      <c r="X49" s="1">
        <f t="shared" ref="X49" si="130">IF(Y50=".",Y49,IF((Y51+Y50+Y49&gt;1),1,0))</f>
        <v>0</v>
      </c>
      <c r="Y49" s="1">
        <f t="shared" ref="Y49" si="131">IF(Z50=".",Z49,IF((Z51+Z50+Z49&gt;1),1,0))</f>
        <v>0</v>
      </c>
    </row>
    <row r="50" spans="4:30" x14ac:dyDescent="0.25">
      <c r="D50" t="s">
        <v>57</v>
      </c>
      <c r="G50" s="1">
        <f>G11</f>
        <v>1</v>
      </c>
      <c r="H50" s="1">
        <f t="shared" ref="H50:Y50" si="132">H11</f>
        <v>0</v>
      </c>
      <c r="I50" s="1">
        <f t="shared" si="132"/>
        <v>1</v>
      </c>
      <c r="J50" s="1">
        <f t="shared" si="132"/>
        <v>1</v>
      </c>
      <c r="K50" s="1" t="str">
        <f t="shared" si="132"/>
        <v>.</v>
      </c>
      <c r="L50" s="1">
        <f t="shared" si="132"/>
        <v>1</v>
      </c>
      <c r="M50" s="1">
        <f t="shared" si="132"/>
        <v>1</v>
      </c>
      <c r="N50" s="1">
        <f t="shared" si="132"/>
        <v>0</v>
      </c>
      <c r="O50" s="1">
        <f t="shared" si="132"/>
        <v>0</v>
      </c>
      <c r="P50" s="1" t="str">
        <f t="shared" si="132"/>
        <v>.</v>
      </c>
      <c r="Q50" s="1">
        <f t="shared" si="132"/>
        <v>1</v>
      </c>
      <c r="R50" s="1">
        <f t="shared" si="132"/>
        <v>1</v>
      </c>
      <c r="S50" s="1">
        <f t="shared" si="132"/>
        <v>1</v>
      </c>
      <c r="T50" s="1">
        <f t="shared" si="132"/>
        <v>0</v>
      </c>
      <c r="U50" s="1" t="str">
        <f t="shared" si="132"/>
        <v>.</v>
      </c>
      <c r="V50" s="1">
        <f t="shared" si="132"/>
        <v>0</v>
      </c>
      <c r="W50" s="1">
        <f t="shared" si="132"/>
        <v>1</v>
      </c>
      <c r="X50" s="1" t="str">
        <f t="shared" si="132"/>
        <v>1</v>
      </c>
      <c r="Y50" s="1" t="str">
        <f t="shared" si="132"/>
        <v>0</v>
      </c>
      <c r="AB50">
        <f>C11</f>
        <v>-17178</v>
      </c>
      <c r="AD50" t="str">
        <f>IF(H55=1,IF(R55=1,"Произошел перенос из старшего разряда и переполнение","Произошёл перенос из старшего разряда"),IF(R55=1,"Произошло переполнение","все нормально"))</f>
        <v>Произошел перенос из старшего разряда и переполнение</v>
      </c>
    </row>
    <row r="51" spans="4:30" x14ac:dyDescent="0.25">
      <c r="D51" s="4" t="s">
        <v>58</v>
      </c>
      <c r="G51" s="1">
        <f>G12</f>
        <v>1</v>
      </c>
      <c r="H51" s="1">
        <f t="shared" ref="H51:Y51" si="133">H12</f>
        <v>0</v>
      </c>
      <c r="I51" s="1">
        <f t="shared" si="133"/>
        <v>1</v>
      </c>
      <c r="J51" s="1">
        <f t="shared" si="133"/>
        <v>0</v>
      </c>
      <c r="K51" s="1" t="str">
        <f t="shared" si="133"/>
        <v>.</v>
      </c>
      <c r="L51" s="1">
        <f t="shared" si="133"/>
        <v>0</v>
      </c>
      <c r="M51" s="1">
        <f t="shared" si="133"/>
        <v>0</v>
      </c>
      <c r="N51" s="1">
        <f t="shared" si="133"/>
        <v>0</v>
      </c>
      <c r="O51" s="1">
        <f t="shared" si="133"/>
        <v>0</v>
      </c>
      <c r="P51" s="1" t="str">
        <f t="shared" si="133"/>
        <v>.</v>
      </c>
      <c r="Q51" s="1">
        <f t="shared" si="133"/>
        <v>0</v>
      </c>
      <c r="R51" s="1">
        <f t="shared" si="133"/>
        <v>0</v>
      </c>
      <c r="S51" s="1">
        <f t="shared" si="133"/>
        <v>0</v>
      </c>
      <c r="T51" s="1">
        <f t="shared" si="133"/>
        <v>0</v>
      </c>
      <c r="U51" s="1" t="str">
        <f t="shared" si="133"/>
        <v>.</v>
      </c>
      <c r="V51" s="1">
        <f t="shared" si="133"/>
        <v>1</v>
      </c>
      <c r="W51" s="1">
        <f t="shared" si="133"/>
        <v>0</v>
      </c>
      <c r="X51" s="1">
        <f t="shared" si="133"/>
        <v>0</v>
      </c>
      <c r="Y51" s="1" t="str">
        <f t="shared" si="133"/>
        <v>1</v>
      </c>
      <c r="AA51" s="7" t="s">
        <v>49</v>
      </c>
      <c r="AB51">
        <f>C12</f>
        <v>-24567</v>
      </c>
    </row>
    <row r="52" spans="4:30" x14ac:dyDescent="0.25">
      <c r="G52" s="6" t="s">
        <v>42</v>
      </c>
      <c r="H52" s="6" t="s">
        <v>42</v>
      </c>
      <c r="I52" s="6" t="s">
        <v>42</v>
      </c>
      <c r="J52" s="6" t="s">
        <v>42</v>
      </c>
      <c r="K52" s="6" t="s">
        <v>42</v>
      </c>
      <c r="L52" s="6" t="s">
        <v>42</v>
      </c>
      <c r="M52" s="6" t="s">
        <v>42</v>
      </c>
      <c r="N52" s="6" t="s">
        <v>42</v>
      </c>
      <c r="O52" s="6" t="s">
        <v>42</v>
      </c>
      <c r="P52" s="6" t="s">
        <v>42</v>
      </c>
      <c r="Q52" s="6" t="s">
        <v>42</v>
      </c>
      <c r="R52" s="6" t="s">
        <v>42</v>
      </c>
      <c r="S52" s="6" t="s">
        <v>42</v>
      </c>
      <c r="T52" s="6" t="s">
        <v>42</v>
      </c>
      <c r="U52" s="6" t="s">
        <v>42</v>
      </c>
      <c r="V52" s="6" t="s">
        <v>42</v>
      </c>
      <c r="W52" s="6" t="s">
        <v>42</v>
      </c>
      <c r="X52" s="6" t="s">
        <v>42</v>
      </c>
      <c r="Y52" s="6" t="s">
        <v>42</v>
      </c>
      <c r="Z52">
        <f>IF(G53=0,_xlfn.DECIMAL(G53&amp;H53&amp;I53&amp;J53&amp;L53&amp;M53&amp;N53&amp;O53&amp;Q53&amp;R53&amp;S53&amp;T53&amp;V53&amp;W53&amp;X53&amp;Y53,2),-_xlfn.DECIMAL(H54&amp;I54&amp;J54&amp;L54&amp;M54&amp;N54&amp;O54&amp;Q54&amp;R54&amp;S54&amp;T54&amp;V54&amp;W54&amp;X54&amp;Y54,2))</f>
        <v>23791</v>
      </c>
      <c r="AB52" s="6" t="s">
        <v>53</v>
      </c>
    </row>
    <row r="53" spans="4:30" x14ac:dyDescent="0.25">
      <c r="G53" s="1">
        <f t="shared" ref="G53:S53" si="134">IF(G51=".",".",IF(MOD(G51+G50+G49,2)=1,1,0))</f>
        <v>0</v>
      </c>
      <c r="H53" s="1">
        <f t="shared" si="134"/>
        <v>1</v>
      </c>
      <c r="I53" s="1">
        <f t="shared" si="134"/>
        <v>0</v>
      </c>
      <c r="J53" s="1">
        <f t="shared" si="134"/>
        <v>1</v>
      </c>
      <c r="K53" s="1" t="str">
        <f t="shared" si="134"/>
        <v>.</v>
      </c>
      <c r="L53" s="1">
        <f t="shared" si="134"/>
        <v>1</v>
      </c>
      <c r="M53" s="1">
        <f t="shared" si="134"/>
        <v>1</v>
      </c>
      <c r="N53" s="1">
        <f t="shared" si="134"/>
        <v>0</v>
      </c>
      <c r="O53" s="1">
        <f t="shared" si="134"/>
        <v>0</v>
      </c>
      <c r="P53" s="1" t="str">
        <f t="shared" si="134"/>
        <v>.</v>
      </c>
      <c r="Q53" s="1">
        <f t="shared" si="134"/>
        <v>1</v>
      </c>
      <c r="R53" s="1">
        <f t="shared" si="134"/>
        <v>1</v>
      </c>
      <c r="S53" s="1">
        <f t="shared" si="134"/>
        <v>1</v>
      </c>
      <c r="T53" s="1">
        <f>IF(T51=".",".",IF(MOD(T51+T50+T49,2)=1,1,0))</f>
        <v>0</v>
      </c>
      <c r="U53" s="1" t="str">
        <f t="shared" ref="U53:Y53" si="135">IF(U51=".",".",IF(MOD(U51+U50+U49,2)=1,1,0))</f>
        <v>.</v>
      </c>
      <c r="V53" s="1">
        <f t="shared" si="135"/>
        <v>1</v>
      </c>
      <c r="W53" s="1">
        <f t="shared" si="135"/>
        <v>1</v>
      </c>
      <c r="X53" s="1">
        <f t="shared" si="135"/>
        <v>1</v>
      </c>
      <c r="Y53" s="1">
        <f t="shared" si="135"/>
        <v>1</v>
      </c>
      <c r="Z53" s="1"/>
      <c r="AB53">
        <f>AB50+AB51</f>
        <v>-41745</v>
      </c>
    </row>
    <row r="54" spans="4:30" x14ac:dyDescent="0.25">
      <c r="D54" t="s">
        <v>50</v>
      </c>
      <c r="G54" s="8" t="str">
        <f>IF($G53=1,IF(G53=".",".",IF((COUNTIF(H53:Y53,"1")&gt;0),1-G53,G53)),"")</f>
        <v/>
      </c>
      <c r="H54" s="8" t="str">
        <f t="shared" ref="H54" si="136">IF($G53=1,IF(H53=".",".",IF((COUNTIF(I53:Z53,"1")&gt;0),1-H53,H53)),"")</f>
        <v/>
      </c>
      <c r="I54" s="8" t="str">
        <f t="shared" ref="I54" si="137">IF($G53=1,IF(I53=".",".",IF((COUNTIF(J53:AA53,"1")&gt;0),1-I53,I53)),"")</f>
        <v/>
      </c>
      <c r="J54" s="8" t="str">
        <f t="shared" ref="J54" si="138">IF($G53=1,IF(J53=".",".",IF((COUNTIF(K53:AB53,"1")&gt;0),1-J53,J53)),"")</f>
        <v/>
      </c>
      <c r="K54" s="8" t="str">
        <f t="shared" ref="K54" si="139">IF($G53=1,IF(K53=".",".",IF((COUNTIF(L53:AC53,"1")&gt;0),1-K53,K53)),"")</f>
        <v/>
      </c>
      <c r="L54" s="8" t="str">
        <f t="shared" ref="L54" si="140">IF($G53=1,IF(L53=".",".",IF((COUNTIF(M53:AD53,"1")&gt;0),1-L53,L53)),"")</f>
        <v/>
      </c>
      <c r="M54" s="8" t="str">
        <f t="shared" ref="M54" si="141">IF($G53=1,IF(M53=".",".",IF((COUNTIF(N53:AE53,"1")&gt;0),1-M53,M53)),"")</f>
        <v/>
      </c>
      <c r="N54" s="8" t="str">
        <f t="shared" ref="N54" si="142">IF($G53=1,IF(N53=".",".",IF((COUNTIF(O53:AF53,"1")&gt;0),1-N53,N53)),"")</f>
        <v/>
      </c>
      <c r="O54" s="8" t="str">
        <f t="shared" ref="O54" si="143">IF($G53=1,IF(O53=".",".",IF((COUNTIF(P53:AG53,"1")&gt;0),1-O53,O53)),"")</f>
        <v/>
      </c>
      <c r="P54" s="8" t="str">
        <f t="shared" ref="P54" si="144">IF($G53=1,IF(P53=".",".",IF((COUNTIF(Q53:AH53,"1")&gt;0),1-P53,P53)),"")</f>
        <v/>
      </c>
      <c r="Q54" s="8" t="str">
        <f t="shared" ref="Q54" si="145">IF($G53=1,IF(Q53=".",".",IF((COUNTIF(R53:AI53,"1")&gt;0),1-Q53,Q53)),"")</f>
        <v/>
      </c>
      <c r="R54" s="8" t="str">
        <f t="shared" ref="R54" si="146">IF($G53=1,IF(R53=".",".",IF((COUNTIF(S53:AJ53,"1")&gt;0),1-R53,R53)),"")</f>
        <v/>
      </c>
      <c r="S54" s="8" t="str">
        <f t="shared" ref="S54" si="147">IF($G53=1,IF(S53=".",".",IF((COUNTIF(T53:AK53,"1")&gt;0),1-S53,S53)),"")</f>
        <v/>
      </c>
      <c r="T54" s="8" t="str">
        <f t="shared" ref="T54" si="148">IF($G53=1,IF(T53=".",".",IF((COUNTIF(U53:AL53,"1")&gt;0),1-T53,T53)),"")</f>
        <v/>
      </c>
      <c r="U54" s="8" t="str">
        <f t="shared" ref="U54" si="149">IF($G53=1,IF(U53=".",".",IF((COUNTIF(V53:AM53,"1")&gt;0),1-U53,U53)),"")</f>
        <v/>
      </c>
      <c r="V54" s="8" t="str">
        <f t="shared" ref="V54" si="150">IF($G53=1,IF(V53=".",".",IF((COUNTIF(W53:AN53,"1")&gt;0),1-V53,V53)),"")</f>
        <v/>
      </c>
      <c r="W54" s="8" t="str">
        <f t="shared" ref="W54" si="151">IF($G53=1,IF(W53=".",".",IF((COUNTIF(X53:AO53,"1")&gt;0),1-W53,W53)),"")</f>
        <v/>
      </c>
      <c r="X54" s="8" t="str">
        <f t="shared" ref="X54" si="152">IF($G53=1,IF(X53=".",".",IF((COUNTIF(Y53:AP53,"1")&gt;0),1-X53,X53)),"")</f>
        <v/>
      </c>
      <c r="Y54" s="8" t="str">
        <f t="shared" ref="Y54" si="153">IF($G53=1,IF(Y53=".",".",IF((COUNTIF(Z53:AQ53,"1")&gt;0),1-Y53,Y53)),"")</f>
        <v/>
      </c>
    </row>
    <row r="55" spans="4:30" x14ac:dyDescent="0.25">
      <c r="G55" t="s">
        <v>43</v>
      </c>
      <c r="H55" s="3">
        <f>F49</f>
        <v>1</v>
      </c>
      <c r="I55" t="s">
        <v>44</v>
      </c>
      <c r="J55" s="3">
        <f>IF(MOD(SUM(G53:Y53),2)=0,1,0)</f>
        <v>0</v>
      </c>
      <c r="K55" t="s">
        <v>45</v>
      </c>
      <c r="L55" s="3">
        <f>U49</f>
        <v>0</v>
      </c>
      <c r="M55" t="s">
        <v>46</v>
      </c>
      <c r="N55" s="3">
        <f>IF(Z52=0,1,0)</f>
        <v>0</v>
      </c>
      <c r="O55" t="s">
        <v>47</v>
      </c>
      <c r="P55" s="3">
        <f>G53</f>
        <v>0</v>
      </c>
      <c r="Q55" t="s">
        <v>48</v>
      </c>
      <c r="R55" s="3">
        <f>IF(G49&lt;&gt;F49,1,0)</f>
        <v>1</v>
      </c>
    </row>
    <row r="57" spans="4:30" x14ac:dyDescent="0.25">
      <c r="D57" t="s">
        <v>39</v>
      </c>
      <c r="F57">
        <f>IF(G59+G58+G57&gt;1,1,0)</f>
        <v>0</v>
      </c>
      <c r="G57" s="1">
        <f t="shared" ref="G57" si="154">IF(H58=".",H57,IF((H59+H58+H57&gt;1),1,0))</f>
        <v>0</v>
      </c>
      <c r="H57" s="1">
        <f t="shared" ref="H57" si="155">IF(I58=".",I57,IF((I59+I58+I57&gt;1),1,0))</f>
        <v>1</v>
      </c>
      <c r="I57" s="1">
        <f t="shared" ref="I57" si="156">IF(J58=".",J57,IF((J59+J58+J57&gt;1),1,0))</f>
        <v>1</v>
      </c>
      <c r="J57" s="1">
        <f t="shared" ref="J57" si="157">IF(K58=".",K57,IF((K59+K58+K57&gt;1),1,0))</f>
        <v>1</v>
      </c>
      <c r="K57" s="1">
        <f t="shared" ref="K57" si="158">IF(L58=".",L57,IF((L59+L58+L57&gt;1),1,0))</f>
        <v>1</v>
      </c>
      <c r="L57" s="1">
        <f t="shared" ref="L57" si="159">IF(M58=".",M57,IF((M59+M58+M57&gt;1),1,0))</f>
        <v>1</v>
      </c>
      <c r="M57" s="1">
        <f t="shared" ref="M57" si="160">IF(N58=".",N57,IF((N59+N58+N57&gt;1),1,0))</f>
        <v>0</v>
      </c>
      <c r="N57" s="1">
        <f t="shared" ref="N57" si="161">IF(O58=".",O57,IF((O59+O58+O57&gt;1),1,0))</f>
        <v>0</v>
      </c>
      <c r="O57" s="1">
        <f t="shared" ref="O57" si="162">IF(P58=".",P57,IF((P59+P58+P57&gt;1),1,0))</f>
        <v>1</v>
      </c>
      <c r="P57" s="1">
        <f t="shared" ref="P57" si="163">IF(Q58=".",Q57,IF((Q59+Q58+Q57&gt;1),1,0))</f>
        <v>1</v>
      </c>
      <c r="Q57" s="1">
        <f t="shared" ref="Q57" si="164">IF(R58=".",R57,IF((R59+R58+R57&gt;1),1,0))</f>
        <v>1</v>
      </c>
      <c r="R57" s="1">
        <f t="shared" ref="R57" si="165">IF(S58=".",S57,IF((S59+S58+S57&gt;1),1,0))</f>
        <v>1</v>
      </c>
      <c r="S57" s="1">
        <f t="shared" ref="S57" si="166">IF(T58=".",T57,IF((T59+T58+T57&gt;1),1,0))</f>
        <v>1</v>
      </c>
      <c r="T57" s="1">
        <f>IF(U58=".",U57,IF((U59+U58+U57&gt;1),1,0))</f>
        <v>1</v>
      </c>
      <c r="U57" s="1">
        <f t="shared" ref="U57" si="167">IF(V58=".",V57,IF((V59+V58+V57&gt;1),1,0))</f>
        <v>1</v>
      </c>
      <c r="V57" s="1">
        <f t="shared" ref="V57" si="168">IF(W58=".",W57,IF((W59+W58+W57&gt;1),1,0))</f>
        <v>1</v>
      </c>
      <c r="W57" s="1">
        <f t="shared" ref="W57" si="169">IF(X58=".",X57,IF((X59+X58+X57&gt;1),1,0))</f>
        <v>0</v>
      </c>
      <c r="X57" s="1">
        <f t="shared" ref="X57" si="170">IF(Y58=".",Y57,IF((Y59+Y58+Y57&gt;1),1,0))</f>
        <v>0</v>
      </c>
      <c r="Y57" s="1">
        <f t="shared" ref="Y57" si="171">IF(Z58=".",Z57,IF((Z59+Z58+Z57&gt;1),1,0))</f>
        <v>0</v>
      </c>
    </row>
    <row r="58" spans="4:30" x14ac:dyDescent="0.25">
      <c r="D58" t="s">
        <v>40</v>
      </c>
      <c r="G58" s="1" t="str">
        <f>G4</f>
        <v>0</v>
      </c>
      <c r="H58" s="1" t="str">
        <f t="shared" ref="H58:Y58" si="172">H4</f>
        <v>0</v>
      </c>
      <c r="I58" s="1" t="str">
        <f t="shared" si="172"/>
        <v>0</v>
      </c>
      <c r="J58" s="1" t="str">
        <f t="shared" si="172"/>
        <v>1</v>
      </c>
      <c r="K58" s="1" t="str">
        <f t="shared" si="172"/>
        <v>.</v>
      </c>
      <c r="L58" s="1" t="str">
        <f t="shared" si="172"/>
        <v>1</v>
      </c>
      <c r="M58" s="1" t="str">
        <f t="shared" si="172"/>
        <v>1</v>
      </c>
      <c r="N58" s="1" t="str">
        <f t="shared" si="172"/>
        <v>0</v>
      </c>
      <c r="O58" s="1" t="str">
        <f t="shared" si="172"/>
        <v>0</v>
      </c>
      <c r="P58" s="1" t="str">
        <f t="shared" si="172"/>
        <v>.</v>
      </c>
      <c r="Q58" s="1" t="str">
        <f t="shared" si="172"/>
        <v>1</v>
      </c>
      <c r="R58" s="1" t="str">
        <f t="shared" si="172"/>
        <v>1</v>
      </c>
      <c r="S58" s="1" t="str">
        <f t="shared" si="172"/>
        <v>0</v>
      </c>
      <c r="T58" s="1" t="str">
        <f t="shared" si="172"/>
        <v>1</v>
      </c>
      <c r="U58" s="1" t="str">
        <f t="shared" si="172"/>
        <v>.</v>
      </c>
      <c r="V58" s="1" t="str">
        <f t="shared" si="172"/>
        <v>1</v>
      </c>
      <c r="W58" s="1" t="str">
        <f t="shared" si="172"/>
        <v>1</v>
      </c>
      <c r="X58" s="1" t="str">
        <f t="shared" si="172"/>
        <v>0</v>
      </c>
      <c r="Y58" s="1" t="str">
        <f t="shared" si="172"/>
        <v>1</v>
      </c>
      <c r="AB58">
        <f>C4</f>
        <v>7389</v>
      </c>
      <c r="AD58" t="str">
        <f>IF(H63=1,IF(R63=1,"Произошел перенос из старшего разряда и переполнение","Произошёл перенос из старшего разряда"),IF(R63=1,"Произошло переполнение","все нормально"))</f>
        <v>все нормально</v>
      </c>
    </row>
    <row r="59" spans="4:30" x14ac:dyDescent="0.25">
      <c r="D59" s="4" t="s">
        <v>56</v>
      </c>
      <c r="G59" s="1">
        <f>G11</f>
        <v>1</v>
      </c>
      <c r="H59" s="1">
        <f t="shared" ref="H59:Y59" si="173">H11</f>
        <v>0</v>
      </c>
      <c r="I59" s="1">
        <f t="shared" si="173"/>
        <v>1</v>
      </c>
      <c r="J59" s="1">
        <f t="shared" si="173"/>
        <v>1</v>
      </c>
      <c r="K59" s="1" t="str">
        <f t="shared" si="173"/>
        <v>.</v>
      </c>
      <c r="L59" s="1">
        <f t="shared" si="173"/>
        <v>1</v>
      </c>
      <c r="M59" s="1">
        <f t="shared" si="173"/>
        <v>1</v>
      </c>
      <c r="N59" s="1">
        <f t="shared" si="173"/>
        <v>0</v>
      </c>
      <c r="O59" s="1">
        <f t="shared" si="173"/>
        <v>0</v>
      </c>
      <c r="P59" s="1" t="str">
        <f t="shared" si="173"/>
        <v>.</v>
      </c>
      <c r="Q59" s="1">
        <f t="shared" si="173"/>
        <v>1</v>
      </c>
      <c r="R59" s="1">
        <f t="shared" si="173"/>
        <v>1</v>
      </c>
      <c r="S59" s="1">
        <f t="shared" si="173"/>
        <v>1</v>
      </c>
      <c r="T59" s="1">
        <f t="shared" si="173"/>
        <v>0</v>
      </c>
      <c r="U59" s="1" t="str">
        <f t="shared" si="173"/>
        <v>.</v>
      </c>
      <c r="V59" s="1">
        <f t="shared" si="173"/>
        <v>0</v>
      </c>
      <c r="W59" s="1">
        <f t="shared" si="173"/>
        <v>1</v>
      </c>
      <c r="X59" s="1" t="str">
        <f t="shared" si="173"/>
        <v>1</v>
      </c>
      <c r="Y59" s="1" t="str">
        <f t="shared" si="173"/>
        <v>0</v>
      </c>
      <c r="AA59" s="7" t="s">
        <v>49</v>
      </c>
      <c r="AB59">
        <f>C11</f>
        <v>-17178</v>
      </c>
    </row>
    <row r="60" spans="4:30" x14ac:dyDescent="0.25">
      <c r="G60" s="6" t="s">
        <v>42</v>
      </c>
      <c r="H60" s="6" t="s">
        <v>42</v>
      </c>
      <c r="I60" s="6" t="s">
        <v>42</v>
      </c>
      <c r="J60" s="6" t="s">
        <v>42</v>
      </c>
      <c r="K60" s="6" t="s">
        <v>42</v>
      </c>
      <c r="L60" s="6" t="s">
        <v>42</v>
      </c>
      <c r="M60" s="6" t="s">
        <v>42</v>
      </c>
      <c r="N60" s="6" t="s">
        <v>42</v>
      </c>
      <c r="O60" s="6" t="s">
        <v>42</v>
      </c>
      <c r="P60" s="6" t="s">
        <v>42</v>
      </c>
      <c r="Q60" s="6" t="s">
        <v>42</v>
      </c>
      <c r="R60" s="6" t="s">
        <v>42</v>
      </c>
      <c r="S60" s="6" t="s">
        <v>42</v>
      </c>
      <c r="T60" s="6" t="s">
        <v>42</v>
      </c>
      <c r="U60" s="6" t="s">
        <v>42</v>
      </c>
      <c r="V60" s="6" t="s">
        <v>42</v>
      </c>
      <c r="W60" s="6" t="s">
        <v>42</v>
      </c>
      <c r="X60" s="6" t="s">
        <v>42</v>
      </c>
      <c r="Y60" s="6" t="s">
        <v>42</v>
      </c>
      <c r="Z60">
        <f>IF(G61=0,_xlfn.DECIMAL(G61&amp;H61&amp;I61&amp;J61&amp;L61&amp;M61&amp;N61&amp;O61&amp;Q61&amp;R61&amp;S61&amp;T61&amp;V61&amp;W61&amp;X61&amp;Y61,2),-_xlfn.DECIMAL(H62&amp;I62&amp;J62&amp;L62&amp;M62&amp;N62&amp;O62&amp;Q62&amp;R62&amp;S62&amp;T62&amp;V62&amp;W62&amp;X62&amp;Y62,2))</f>
        <v>-9789</v>
      </c>
      <c r="AB60" s="6" t="s">
        <v>53</v>
      </c>
    </row>
    <row r="61" spans="4:30" x14ac:dyDescent="0.25">
      <c r="G61" s="1">
        <f t="shared" ref="G61:S61" si="174">IF(G59=".",".",IF(MOD(G59+G58+G57,2)=1,1,0))</f>
        <v>1</v>
      </c>
      <c r="H61" s="1">
        <f t="shared" si="174"/>
        <v>1</v>
      </c>
      <c r="I61" s="1">
        <f t="shared" si="174"/>
        <v>0</v>
      </c>
      <c r="J61" s="1">
        <f t="shared" si="174"/>
        <v>1</v>
      </c>
      <c r="K61" s="1" t="str">
        <f t="shared" si="174"/>
        <v>.</v>
      </c>
      <c r="L61" s="1">
        <f t="shared" si="174"/>
        <v>1</v>
      </c>
      <c r="M61" s="1">
        <f t="shared" si="174"/>
        <v>0</v>
      </c>
      <c r="N61" s="1">
        <f t="shared" si="174"/>
        <v>0</v>
      </c>
      <c r="O61" s="1">
        <f t="shared" si="174"/>
        <v>1</v>
      </c>
      <c r="P61" s="1" t="str">
        <f t="shared" si="174"/>
        <v>.</v>
      </c>
      <c r="Q61" s="1">
        <f t="shared" si="174"/>
        <v>1</v>
      </c>
      <c r="R61" s="1">
        <f t="shared" si="174"/>
        <v>1</v>
      </c>
      <c r="S61" s="1">
        <f t="shared" si="174"/>
        <v>0</v>
      </c>
      <c r="T61" s="1">
        <f>IF(T59=".",".",IF(MOD(T59+T58+T57,2)=1,1,0))</f>
        <v>0</v>
      </c>
      <c r="U61" s="1" t="str">
        <f t="shared" ref="U61:Y61" si="175">IF(U59=".",".",IF(MOD(U59+U58+U57,2)=1,1,0))</f>
        <v>.</v>
      </c>
      <c r="V61" s="1">
        <f t="shared" si="175"/>
        <v>0</v>
      </c>
      <c r="W61" s="1">
        <f t="shared" si="175"/>
        <v>0</v>
      </c>
      <c r="X61" s="1">
        <f t="shared" si="175"/>
        <v>1</v>
      </c>
      <c r="Y61" s="1">
        <f t="shared" si="175"/>
        <v>1</v>
      </c>
      <c r="Z61" s="1"/>
      <c r="AB61">
        <f>AB58+AB59</f>
        <v>-9789</v>
      </c>
    </row>
    <row r="62" spans="4:30" x14ac:dyDescent="0.25">
      <c r="D62" t="s">
        <v>50</v>
      </c>
      <c r="G62" s="8">
        <f>IF($G61=1,IF(G61=".",".",IF((COUNTIF(H61:Y61,"1")&gt;0),1-G61,G61)),"")</f>
        <v>0</v>
      </c>
      <c r="H62" s="8">
        <f t="shared" ref="H62" si="176">IF($G61=1,IF(H61=".",".",IF((COUNTIF(I61:Z61,"1")&gt;0),1-H61,H61)),"")</f>
        <v>0</v>
      </c>
      <c r="I62" s="8">
        <f t="shared" ref="I62" si="177">IF($G61=1,IF(I61=".",".",IF((COUNTIF(J61:AA61,"1")&gt;0),1-I61,I61)),"")</f>
        <v>1</v>
      </c>
      <c r="J62" s="8">
        <f t="shared" ref="J62" si="178">IF($G61=1,IF(J61=".",".",IF((COUNTIF(K61:AB61,"1")&gt;0),1-J61,J61)),"")</f>
        <v>0</v>
      </c>
      <c r="K62" s="8" t="str">
        <f t="shared" ref="K62" si="179">IF($G61=1,IF(K61=".",".",IF((COUNTIF(L61:AC61,"1")&gt;0),1-K61,K61)),"")</f>
        <v>.</v>
      </c>
      <c r="L62" s="8">
        <f t="shared" ref="L62" si="180">IF($G61=1,IF(L61=".",".",IF((COUNTIF(M61:AD61,"1")&gt;0),1-L61,L61)),"")</f>
        <v>0</v>
      </c>
      <c r="M62" s="8">
        <f t="shared" ref="M62" si="181">IF($G61=1,IF(M61=".",".",IF((COUNTIF(N61:AE61,"1")&gt;0),1-M61,M61)),"")</f>
        <v>1</v>
      </c>
      <c r="N62" s="8">
        <f t="shared" ref="N62" si="182">IF($G61=1,IF(N61=".",".",IF((COUNTIF(O61:AF61,"1")&gt;0),1-N61,N61)),"")</f>
        <v>1</v>
      </c>
      <c r="O62" s="8">
        <f t="shared" ref="O62" si="183">IF($G61=1,IF(O61=".",".",IF((COUNTIF(P61:AG61,"1")&gt;0),1-O61,O61)),"")</f>
        <v>0</v>
      </c>
      <c r="P62" s="8" t="str">
        <f t="shared" ref="P62" si="184">IF($G61=1,IF(P61=".",".",IF((COUNTIF(Q61:AH61,"1")&gt;0),1-P61,P61)),"")</f>
        <v>.</v>
      </c>
      <c r="Q62" s="8">
        <f t="shared" ref="Q62" si="185">IF($G61=1,IF(Q61=".",".",IF((COUNTIF(R61:AI61,"1")&gt;0),1-Q61,Q61)),"")</f>
        <v>0</v>
      </c>
      <c r="R62" s="8">
        <f t="shared" ref="R62" si="186">IF($G61=1,IF(R61=".",".",IF((COUNTIF(S61:AJ61,"1")&gt;0),1-R61,R61)),"")</f>
        <v>0</v>
      </c>
      <c r="S62" s="8">
        <f t="shared" ref="S62" si="187">IF($G61=1,IF(S61=".",".",IF((COUNTIF(T61:AK61,"1")&gt;0),1-S61,S61)),"")</f>
        <v>1</v>
      </c>
      <c r="T62" s="8">
        <f t="shared" ref="T62" si="188">IF($G61=1,IF(T61=".",".",IF((COUNTIF(U61:AL61,"1")&gt;0),1-T61,T61)),"")</f>
        <v>1</v>
      </c>
      <c r="U62" s="8" t="str">
        <f t="shared" ref="U62" si="189">IF($G61=1,IF(U61=".",".",IF((COUNTIF(V61:AM61,"1")&gt;0),1-U61,U61)),"")</f>
        <v>.</v>
      </c>
      <c r="V62" s="8">
        <f t="shared" ref="V62" si="190">IF($G61=1,IF(V61=".",".",IF((COUNTIF(W61:AN61,"1")&gt;0),1-V61,V61)),"")</f>
        <v>1</v>
      </c>
      <c r="W62" s="8">
        <f t="shared" ref="W62" si="191">IF($G61=1,IF(W61=".",".",IF((COUNTIF(X61:AO61,"1")&gt;0),1-W61,W61)),"")</f>
        <v>1</v>
      </c>
      <c r="X62" s="8">
        <f t="shared" ref="X62" si="192">IF($G61=1,IF(X61=".",".",IF((COUNTIF(Y61:AP61,"1")&gt;0),1-X61,X61)),"")</f>
        <v>0</v>
      </c>
      <c r="Y62" s="8">
        <f t="shared" ref="Y62" si="193">IF($G61=1,IF(Y61=".",".",IF((COUNTIF(Z61:AQ61,"1")&gt;0),1-Y61,Y61)),"")</f>
        <v>1</v>
      </c>
    </row>
    <row r="63" spans="4:30" x14ac:dyDescent="0.25">
      <c r="G63" t="s">
        <v>43</v>
      </c>
      <c r="H63" s="3">
        <f>G57</f>
        <v>0</v>
      </c>
      <c r="I63" t="s">
        <v>44</v>
      </c>
      <c r="J63" s="3">
        <f>IF(MOD(SUM(G61:Y61),2)=0,1,0)</f>
        <v>0</v>
      </c>
      <c r="K63" t="s">
        <v>45</v>
      </c>
      <c r="L63" s="3">
        <f>U57</f>
        <v>1</v>
      </c>
      <c r="M63" t="s">
        <v>46</v>
      </c>
      <c r="N63" s="3">
        <f>IF(Z60=0,1,0)</f>
        <v>0</v>
      </c>
      <c r="O63" t="s">
        <v>47</v>
      </c>
      <c r="P63" s="3">
        <f>G61</f>
        <v>1</v>
      </c>
      <c r="Q63" t="s">
        <v>48</v>
      </c>
      <c r="R63" s="3">
        <f>IF(G57&lt;&gt;F57,1,0)</f>
        <v>0</v>
      </c>
    </row>
    <row r="65" spans="4:30" x14ac:dyDescent="0.25">
      <c r="D65" t="s">
        <v>39</v>
      </c>
      <c r="F65">
        <f>IF(G67+G66+G65&gt;1,1,0)</f>
        <v>1</v>
      </c>
      <c r="G65" s="1">
        <f t="shared" ref="G65" si="194">IF(H66=".",H65,IF((H67+H66+H65&gt;1),1,0))</f>
        <v>1</v>
      </c>
      <c r="H65" s="1">
        <f t="shared" ref="H65" si="195">IF(I66=".",I65,IF((I67+I66+I65&gt;1),1,0))</f>
        <v>0</v>
      </c>
      <c r="I65" s="1">
        <f t="shared" ref="I65" si="196">IF(J66=".",J65,IF((J67+J66+J65&gt;1),1,0))</f>
        <v>1</v>
      </c>
      <c r="J65" s="1">
        <f t="shared" ref="J65" si="197">IF(K66=".",K65,IF((K67+K66+K65&gt;1),1,0))</f>
        <v>1</v>
      </c>
      <c r="K65" s="1">
        <f t="shared" ref="K65" si="198">IF(L66=".",L65,IF((L67+L66+L65&gt;1),1,0))</f>
        <v>1</v>
      </c>
      <c r="L65" s="1">
        <f t="shared" ref="L65" si="199">IF(M66=".",M65,IF((M67+M66+M65&gt;1),1,0))</f>
        <v>1</v>
      </c>
      <c r="M65" s="1">
        <f t="shared" ref="M65" si="200">IF(N66=".",N65,IF((N67+N66+N65&gt;1),1,0))</f>
        <v>1</v>
      </c>
      <c r="N65" s="1">
        <f t="shared" ref="N65" si="201">IF(O66=".",O65,IF((O67+O66+O65&gt;1),1,0))</f>
        <v>1</v>
      </c>
      <c r="O65" s="1">
        <f t="shared" ref="O65" si="202">IF(P66=".",P65,IF((P67+P66+P65&gt;1),1,0))</f>
        <v>1</v>
      </c>
      <c r="P65" s="1">
        <f t="shared" ref="P65" si="203">IF(Q66=".",Q65,IF((Q67+Q66+Q65&gt;1),1,0))</f>
        <v>1</v>
      </c>
      <c r="Q65" s="1">
        <f t="shared" ref="Q65" si="204">IF(R66=".",R65,IF((R67+R66+R65&gt;1),1,0))</f>
        <v>1</v>
      </c>
      <c r="R65" s="1">
        <f t="shared" ref="R65" si="205">IF(S66=".",S65,IF((S67+S66+S65&gt;1),1,0))</f>
        <v>0</v>
      </c>
      <c r="S65" s="1">
        <f t="shared" ref="S65" si="206">IF(T66=".",T65,IF((T67+T66+T65&gt;1),1,0))</f>
        <v>0</v>
      </c>
      <c r="T65" s="1">
        <f>IF(U66=".",U65,IF((U67+U66+U65&gt;1),1,0))</f>
        <v>0</v>
      </c>
      <c r="U65" s="1">
        <f t="shared" ref="U65" si="207">IF(V66=".",V65,IF((V67+V66+V65&gt;1),1,0))</f>
        <v>0</v>
      </c>
      <c r="V65" s="1">
        <f t="shared" ref="V65" si="208">IF(W66=".",W65,IF((W67+W66+W65&gt;1),1,0))</f>
        <v>1</v>
      </c>
      <c r="W65" s="1">
        <f t="shared" ref="W65" si="209">IF(X66=".",X65,IF((X67+X66+X65&gt;1),1,0))</f>
        <v>1</v>
      </c>
      <c r="X65" s="1">
        <f t="shared" ref="X65" si="210">IF(Y66=".",Y65,IF((Y67+Y66+Y65&gt;1),1,0))</f>
        <v>1</v>
      </c>
      <c r="Y65" s="1">
        <f t="shared" ref="Y65" si="211">IF(Z66=".",Z65,IF((Z67+Z66+Z65&gt;1),1,0))</f>
        <v>0</v>
      </c>
    </row>
    <row r="66" spans="4:30" x14ac:dyDescent="0.25">
      <c r="D66" t="s">
        <v>59</v>
      </c>
      <c r="G66" s="1">
        <f>G14</f>
        <v>1</v>
      </c>
      <c r="H66" s="1">
        <f t="shared" ref="H66:Y66" si="212">H14</f>
        <v>1</v>
      </c>
      <c r="I66" s="1">
        <f t="shared" si="212"/>
        <v>0</v>
      </c>
      <c r="J66" s="1">
        <f t="shared" si="212"/>
        <v>1</v>
      </c>
      <c r="K66" s="1" t="str">
        <f t="shared" si="212"/>
        <v>.</v>
      </c>
      <c r="L66" s="1">
        <f t="shared" si="212"/>
        <v>1</v>
      </c>
      <c r="M66" s="1">
        <f t="shared" si="212"/>
        <v>0</v>
      </c>
      <c r="N66" s="1">
        <f t="shared" si="212"/>
        <v>0</v>
      </c>
      <c r="O66" s="1">
        <f t="shared" si="212"/>
        <v>1</v>
      </c>
      <c r="P66" s="1" t="str">
        <f t="shared" si="212"/>
        <v>.</v>
      </c>
      <c r="Q66" s="1">
        <f t="shared" si="212"/>
        <v>1</v>
      </c>
      <c r="R66" s="1">
        <f t="shared" si="212"/>
        <v>1</v>
      </c>
      <c r="S66" s="1">
        <f t="shared" si="212"/>
        <v>0</v>
      </c>
      <c r="T66" s="1">
        <f t="shared" si="212"/>
        <v>0</v>
      </c>
      <c r="U66" s="1" t="str">
        <f t="shared" si="212"/>
        <v>.</v>
      </c>
      <c r="V66" s="1">
        <f t="shared" si="212"/>
        <v>0</v>
      </c>
      <c r="W66" s="1">
        <f t="shared" si="212"/>
        <v>0</v>
      </c>
      <c r="X66" s="1">
        <f t="shared" si="212"/>
        <v>1</v>
      </c>
      <c r="Y66" s="1" t="str">
        <f t="shared" si="212"/>
        <v>1</v>
      </c>
      <c r="AB66">
        <f>C14</f>
        <v>-9789</v>
      </c>
      <c r="AD66" t="str">
        <f>IF(H71=1,IF(R71=1,"Произошел перенос из старшего разряда и переполнение","Произошёл перенос из старшего разряда"),IF(R71=1,"Произошло переполнение","все нормально"))</f>
        <v>Произошёл перенос из старшего разряда</v>
      </c>
    </row>
    <row r="67" spans="4:30" x14ac:dyDescent="0.25">
      <c r="D67" s="4" t="s">
        <v>52</v>
      </c>
      <c r="G67" s="1" t="str">
        <f>G6</f>
        <v>0</v>
      </c>
      <c r="H67" s="1" t="str">
        <f t="shared" ref="H67:Y67" si="213">H6</f>
        <v>1</v>
      </c>
      <c r="I67" s="1" t="str">
        <f t="shared" si="213"/>
        <v>0</v>
      </c>
      <c r="J67" s="1" t="str">
        <f t="shared" si="213"/>
        <v>1</v>
      </c>
      <c r="K67" s="1" t="str">
        <f t="shared" si="213"/>
        <v>.</v>
      </c>
      <c r="L67" s="1" t="str">
        <f t="shared" si="213"/>
        <v>1</v>
      </c>
      <c r="M67" s="1" t="str">
        <f t="shared" si="213"/>
        <v>1</v>
      </c>
      <c r="N67" s="1" t="str">
        <f t="shared" si="213"/>
        <v>1</v>
      </c>
      <c r="O67" s="1" t="str">
        <f t="shared" si="213"/>
        <v>1</v>
      </c>
      <c r="P67" s="1" t="str">
        <f t="shared" si="213"/>
        <v>.</v>
      </c>
      <c r="Q67" s="1" t="str">
        <f t="shared" si="213"/>
        <v>1</v>
      </c>
      <c r="R67" s="1" t="str">
        <f t="shared" si="213"/>
        <v>1</v>
      </c>
      <c r="S67" s="1" t="str">
        <f t="shared" si="213"/>
        <v>1</v>
      </c>
      <c r="T67" s="1" t="str">
        <f t="shared" si="213"/>
        <v>1</v>
      </c>
      <c r="U67" s="1" t="str">
        <f t="shared" si="213"/>
        <v>.</v>
      </c>
      <c r="V67" s="1" t="str">
        <f t="shared" si="213"/>
        <v>0</v>
      </c>
      <c r="W67" s="1" t="str">
        <f t="shared" si="213"/>
        <v>1</v>
      </c>
      <c r="X67" s="1" t="str">
        <f t="shared" si="213"/>
        <v>1</v>
      </c>
      <c r="Y67" s="1" t="str">
        <f t="shared" si="213"/>
        <v>1</v>
      </c>
      <c r="AA67" s="7" t="s">
        <v>49</v>
      </c>
      <c r="AB67">
        <f>C6</f>
        <v>24567</v>
      </c>
    </row>
    <row r="68" spans="4:30" x14ac:dyDescent="0.25">
      <c r="G68" s="6" t="s">
        <v>42</v>
      </c>
      <c r="H68" s="6" t="s">
        <v>42</v>
      </c>
      <c r="I68" s="6" t="s">
        <v>42</v>
      </c>
      <c r="J68" s="6" t="s">
        <v>42</v>
      </c>
      <c r="K68" s="6" t="s">
        <v>42</v>
      </c>
      <c r="L68" s="6" t="s">
        <v>42</v>
      </c>
      <c r="M68" s="6" t="s">
        <v>42</v>
      </c>
      <c r="N68" s="6" t="s">
        <v>42</v>
      </c>
      <c r="O68" s="6" t="s">
        <v>42</v>
      </c>
      <c r="P68" s="6" t="s">
        <v>42</v>
      </c>
      <c r="Q68" s="6" t="s">
        <v>42</v>
      </c>
      <c r="R68" s="6" t="s">
        <v>42</v>
      </c>
      <c r="S68" s="6" t="s">
        <v>42</v>
      </c>
      <c r="T68" s="6" t="s">
        <v>42</v>
      </c>
      <c r="U68" s="6" t="s">
        <v>42</v>
      </c>
      <c r="V68" s="6" t="s">
        <v>42</v>
      </c>
      <c r="W68" s="6" t="s">
        <v>42</v>
      </c>
      <c r="X68" s="6" t="s">
        <v>42</v>
      </c>
      <c r="Y68" s="6" t="s">
        <v>42</v>
      </c>
      <c r="Z68">
        <f>IF(G69=0,_xlfn.DECIMAL(G69&amp;H69&amp;I69&amp;J69&amp;L69&amp;M69&amp;N69&amp;O69&amp;Q69&amp;R69&amp;S69&amp;T69&amp;V69&amp;W69&amp;X69&amp;Y69,2),-_xlfn.DECIMAL(H70&amp;I70&amp;J70&amp;L70&amp;M70&amp;N70&amp;O70&amp;Q70&amp;R70&amp;S70&amp;T70&amp;V70&amp;W70&amp;X70&amp;Y70,2))</f>
        <v>14778</v>
      </c>
      <c r="AB68" s="6" t="s">
        <v>53</v>
      </c>
    </row>
    <row r="69" spans="4:30" x14ac:dyDescent="0.25">
      <c r="G69" s="1">
        <f t="shared" ref="G69:S69" si="214">IF(G67=".",".",IF(MOD(G67+G66+G65,2)=1,1,0))</f>
        <v>0</v>
      </c>
      <c r="H69" s="1">
        <f t="shared" si="214"/>
        <v>0</v>
      </c>
      <c r="I69" s="1">
        <f t="shared" si="214"/>
        <v>1</v>
      </c>
      <c r="J69" s="1">
        <f t="shared" si="214"/>
        <v>1</v>
      </c>
      <c r="K69" s="1" t="str">
        <f t="shared" si="214"/>
        <v>.</v>
      </c>
      <c r="L69" s="1">
        <f t="shared" si="214"/>
        <v>1</v>
      </c>
      <c r="M69" s="1">
        <f t="shared" si="214"/>
        <v>0</v>
      </c>
      <c r="N69" s="1">
        <f t="shared" si="214"/>
        <v>0</v>
      </c>
      <c r="O69" s="1">
        <f t="shared" si="214"/>
        <v>1</v>
      </c>
      <c r="P69" s="1" t="str">
        <f t="shared" si="214"/>
        <v>.</v>
      </c>
      <c r="Q69" s="1">
        <f t="shared" si="214"/>
        <v>1</v>
      </c>
      <c r="R69" s="1">
        <f t="shared" si="214"/>
        <v>0</v>
      </c>
      <c r="S69" s="1">
        <f t="shared" si="214"/>
        <v>1</v>
      </c>
      <c r="T69" s="1">
        <f>IF(T67=".",".",IF(MOD(T67+T66+T65,2)=1,1,0))</f>
        <v>1</v>
      </c>
      <c r="U69" s="1" t="str">
        <f t="shared" ref="U69:Y69" si="215">IF(U67=".",".",IF(MOD(U67+U66+U65,2)=1,1,0))</f>
        <v>.</v>
      </c>
      <c r="V69" s="1">
        <f t="shared" si="215"/>
        <v>1</v>
      </c>
      <c r="W69" s="1">
        <f t="shared" si="215"/>
        <v>0</v>
      </c>
      <c r="X69" s="1">
        <f t="shared" si="215"/>
        <v>1</v>
      </c>
      <c r="Y69" s="1">
        <f t="shared" si="215"/>
        <v>0</v>
      </c>
      <c r="Z69" s="1"/>
      <c r="AB69">
        <f>AB66+AB67</f>
        <v>14778</v>
      </c>
    </row>
    <row r="70" spans="4:30" x14ac:dyDescent="0.25">
      <c r="D70" t="s">
        <v>50</v>
      </c>
      <c r="G70" s="8" t="str">
        <f>IF($G69=1,IF(G69=".",".",IF((COUNTIF(H69:Y69,"1")&gt;0),1-G69,G69)),"")</f>
        <v/>
      </c>
      <c r="H70" s="8" t="str">
        <f t="shared" ref="H70" si="216">IF($G69=1,IF(H69=".",".",IF((COUNTIF(I69:Z69,"1")&gt;0),1-H69,H69)),"")</f>
        <v/>
      </c>
      <c r="I70" s="8" t="str">
        <f t="shared" ref="I70" si="217">IF($G69=1,IF(I69=".",".",IF((COUNTIF(J69:AA69,"1")&gt;0),1-I69,I69)),"")</f>
        <v/>
      </c>
      <c r="J70" s="8" t="str">
        <f t="shared" ref="J70" si="218">IF($G69=1,IF(J69=".",".",IF((COUNTIF(K69:AB69,"1")&gt;0),1-J69,J69)),"")</f>
        <v/>
      </c>
      <c r="K70" s="8" t="str">
        <f t="shared" ref="K70" si="219">IF($G69=1,IF(K69=".",".",IF((COUNTIF(L69:AC69,"1")&gt;0),1-K69,K69)),"")</f>
        <v/>
      </c>
      <c r="L70" s="8" t="str">
        <f t="shared" ref="L70" si="220">IF($G69=1,IF(L69=".",".",IF((COUNTIF(M69:AD69,"1")&gt;0),1-L69,L69)),"")</f>
        <v/>
      </c>
      <c r="M70" s="8" t="str">
        <f t="shared" ref="M70" si="221">IF($G69=1,IF(M69=".",".",IF((COUNTIF(N69:AE69,"1")&gt;0),1-M69,M69)),"")</f>
        <v/>
      </c>
      <c r="N70" s="8" t="str">
        <f t="shared" ref="N70" si="222">IF($G69=1,IF(N69=".",".",IF((COUNTIF(O69:AF69,"1")&gt;0),1-N69,N69)),"")</f>
        <v/>
      </c>
      <c r="O70" s="8" t="str">
        <f t="shared" ref="O70" si="223">IF($G69=1,IF(O69=".",".",IF((COUNTIF(P69:AG69,"1")&gt;0),1-O69,O69)),"")</f>
        <v/>
      </c>
      <c r="P70" s="8" t="str">
        <f t="shared" ref="P70" si="224">IF($G69=1,IF(P69=".",".",IF((COUNTIF(Q69:AH69,"1")&gt;0),1-P69,P69)),"")</f>
        <v/>
      </c>
      <c r="Q70" s="8" t="str">
        <f t="shared" ref="Q70" si="225">IF($G69=1,IF(Q69=".",".",IF((COUNTIF(R69:AI69,"1")&gt;0),1-Q69,Q69)),"")</f>
        <v/>
      </c>
      <c r="R70" s="8" t="str">
        <f t="shared" ref="R70" si="226">IF($G69=1,IF(R69=".",".",IF((COUNTIF(S69:AJ69,"1")&gt;0),1-R69,R69)),"")</f>
        <v/>
      </c>
      <c r="S70" s="8" t="str">
        <f t="shared" ref="S70" si="227">IF($G69=1,IF(S69=".",".",IF((COUNTIF(T69:AK69,"1")&gt;0),1-S69,S69)),"")</f>
        <v/>
      </c>
      <c r="T70" s="8" t="str">
        <f t="shared" ref="T70" si="228">IF($G69=1,IF(T69=".",".",IF((COUNTIF(U69:AL69,"1")&gt;0),1-T69,T69)),"")</f>
        <v/>
      </c>
      <c r="U70" s="8" t="str">
        <f t="shared" ref="U70" si="229">IF($G69=1,IF(U69=".",".",IF((COUNTIF(V69:AM69,"1")&gt;0),1-U69,U69)),"")</f>
        <v/>
      </c>
      <c r="V70" s="8" t="str">
        <f t="shared" ref="V70" si="230">IF($G69=1,IF(V69=".",".",IF((COUNTIF(W69:AN69,"1")&gt;0),1-V69,V69)),"")</f>
        <v/>
      </c>
      <c r="W70" s="8" t="str">
        <f t="shared" ref="W70" si="231">IF($G69=1,IF(W69=".",".",IF((COUNTIF(X69:AO69,"1")&gt;0),1-W69,W69)),"")</f>
        <v/>
      </c>
      <c r="X70" s="8" t="str">
        <f t="shared" ref="X70" si="232">IF($G69=1,IF(X69=".",".",IF((COUNTIF(Y69:AP69,"1")&gt;0),1-X69,X69)),"")</f>
        <v/>
      </c>
      <c r="Y70" s="8" t="str">
        <f t="shared" ref="Y70" si="233">IF($G69=1,IF(Y69=".",".",IF((COUNTIF(Z69:AQ69,"1")&gt;0),1-Y69,Y69)),"")</f>
        <v/>
      </c>
    </row>
    <row r="71" spans="4:30" x14ac:dyDescent="0.25">
      <c r="G71" t="s">
        <v>43</v>
      </c>
      <c r="H71" s="3">
        <f>G65</f>
        <v>1</v>
      </c>
      <c r="I71" t="s">
        <v>44</v>
      </c>
      <c r="J71" s="3">
        <f>IF(MOD(SUM(G69:Y69),2)=0,1,0)</f>
        <v>0</v>
      </c>
      <c r="K71" t="s">
        <v>45</v>
      </c>
      <c r="L71" s="3">
        <f>U65</f>
        <v>0</v>
      </c>
      <c r="M71" t="s">
        <v>46</v>
      </c>
      <c r="N71" s="3">
        <f>IF(Z68=0,1,0)</f>
        <v>0</v>
      </c>
      <c r="O71" t="s">
        <v>47</v>
      </c>
      <c r="P71" s="3">
        <f>G69</f>
        <v>0</v>
      </c>
      <c r="Q71" t="s">
        <v>48</v>
      </c>
      <c r="R71" s="3">
        <f>IF(G65&lt;&gt;F65,1,0)</f>
        <v>0</v>
      </c>
    </row>
  </sheetData>
  <pageMargins left="0.7" right="0.7" top="0.75" bottom="0.75" header="0.3" footer="0.3"/>
  <pageSetup paperSize="9" orientation="landscape" r:id="rId1"/>
  <headerFooter>
    <oddHeader xml:space="preserve">&amp;CБашлачёв Александр, вариант 92 % 40 = 12
</oddHeader>
    <oddFooter>&amp;C13.12.2025, 3:40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SmyZik SmyZik</dc:creator>
  <cp:lastModifiedBy>Башлачёв Александр Павлович</cp:lastModifiedBy>
  <cp:lastPrinted>2025-12-20T09:24:27Z</cp:lastPrinted>
  <dcterms:created xsi:type="dcterms:W3CDTF">2015-06-05T18:19:34Z</dcterms:created>
  <dcterms:modified xsi:type="dcterms:W3CDTF">2025-12-20T09:25:00Z</dcterms:modified>
</cp:coreProperties>
</file>