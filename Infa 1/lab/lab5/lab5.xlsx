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myZ1k\Desktop\itmo\Infa 1\lab\lab5\"/>
    </mc:Choice>
  </mc:AlternateContent>
  <xr:revisionPtr revIDLastSave="0" documentId="13_ncr:1_{A72D7FCE-C874-42FE-B9BD-AA83853B572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AA58" i="1" s="1"/>
  <c r="C5" i="1"/>
  <c r="C6" i="1"/>
  <c r="C7" i="1"/>
  <c r="C8" i="1"/>
  <c r="C9" i="1"/>
  <c r="C10" i="1"/>
  <c r="AA35" i="1" s="1"/>
  <c r="C11" i="1"/>
  <c r="AA59" i="1" s="1"/>
  <c r="C12" i="1"/>
  <c r="AA51" i="1" s="1"/>
  <c r="C13" i="1"/>
  <c r="N13" i="1" s="1"/>
  <c r="C14" i="1"/>
  <c r="G14" i="1" s="1"/>
  <c r="G66" i="1" s="1"/>
  <c r="C15" i="1"/>
  <c r="L15" i="1" s="1"/>
  <c r="AA67" i="1"/>
  <c r="O67" i="1"/>
  <c r="F67" i="1"/>
  <c r="F59" i="1"/>
  <c r="G58" i="1"/>
  <c r="H58" i="1"/>
  <c r="I58" i="1"/>
  <c r="M51" i="1"/>
  <c r="N51" i="1"/>
  <c r="O51" i="1"/>
  <c r="O53" i="1" s="1"/>
  <c r="Q50" i="1"/>
  <c r="R50" i="1"/>
  <c r="S50" i="1"/>
  <c r="T50" i="1"/>
  <c r="Q43" i="1"/>
  <c r="R43" i="1"/>
  <c r="S43" i="1"/>
  <c r="T43" i="1"/>
  <c r="W42" i="1"/>
  <c r="AA34" i="1"/>
  <c r="V34" i="1"/>
  <c r="X65" i="1"/>
  <c r="X57" i="1"/>
  <c r="X49" i="1"/>
  <c r="X41" i="1"/>
  <c r="X33" i="1"/>
  <c r="V26" i="1"/>
  <c r="W26" i="1"/>
  <c r="X26" i="1"/>
  <c r="AA27" i="1"/>
  <c r="X25" i="1"/>
  <c r="AA19" i="1"/>
  <c r="X17" i="1"/>
  <c r="R18" i="1"/>
  <c r="V19" i="1"/>
  <c r="W19" i="1"/>
  <c r="X19" i="1"/>
  <c r="F5" i="1"/>
  <c r="F19" i="1" s="1"/>
  <c r="G5" i="1"/>
  <c r="G34" i="1" s="1"/>
  <c r="H5" i="1"/>
  <c r="H34" i="1" s="1"/>
  <c r="I5" i="1"/>
  <c r="I34" i="1" s="1"/>
  <c r="J5" i="1"/>
  <c r="J34" i="1" s="1"/>
  <c r="K5" i="1"/>
  <c r="K34" i="1" s="1"/>
  <c r="L5" i="1"/>
  <c r="L34" i="1" s="1"/>
  <c r="M5" i="1"/>
  <c r="M34" i="1" s="1"/>
  <c r="N5" i="1"/>
  <c r="N34" i="1" s="1"/>
  <c r="O5" i="1"/>
  <c r="O34" i="1" s="1"/>
  <c r="P5" i="1"/>
  <c r="P26" i="1" s="1"/>
  <c r="Q5" i="1"/>
  <c r="Q26" i="1" s="1"/>
  <c r="R5" i="1"/>
  <c r="R34" i="1" s="1"/>
  <c r="S5" i="1"/>
  <c r="S34" i="1" s="1"/>
  <c r="T5" i="1"/>
  <c r="T34" i="1" s="1"/>
  <c r="U5" i="1"/>
  <c r="U34" i="1" s="1"/>
  <c r="V5" i="1"/>
  <c r="W5" i="1"/>
  <c r="W34" i="1" s="1"/>
  <c r="X5" i="1"/>
  <c r="X34" i="1" s="1"/>
  <c r="F6" i="1"/>
  <c r="F27" i="1" s="1"/>
  <c r="G6" i="1"/>
  <c r="G67" i="1" s="1"/>
  <c r="H6" i="1"/>
  <c r="H67" i="1" s="1"/>
  <c r="I6" i="1"/>
  <c r="I67" i="1" s="1"/>
  <c r="J6" i="1"/>
  <c r="J27" i="1" s="1"/>
  <c r="J29" i="1" s="1"/>
  <c r="K6" i="1"/>
  <c r="K27" i="1" s="1"/>
  <c r="L6" i="1"/>
  <c r="L27" i="1" s="1"/>
  <c r="M6" i="1"/>
  <c r="M27" i="1" s="1"/>
  <c r="N6" i="1"/>
  <c r="N27" i="1" s="1"/>
  <c r="O6" i="1"/>
  <c r="O27" i="1" s="1"/>
  <c r="O29" i="1" s="1"/>
  <c r="P6" i="1"/>
  <c r="P67" i="1" s="1"/>
  <c r="Q6" i="1"/>
  <c r="Q67" i="1" s="1"/>
  <c r="R6" i="1"/>
  <c r="R67" i="1" s="1"/>
  <c r="S6" i="1"/>
  <c r="S67" i="1" s="1"/>
  <c r="T6" i="1"/>
  <c r="T67" i="1" s="1"/>
  <c r="U6" i="1"/>
  <c r="U67" i="1" s="1"/>
  <c r="V6" i="1"/>
  <c r="V27" i="1" s="1"/>
  <c r="W6" i="1"/>
  <c r="W67" i="1" s="1"/>
  <c r="X6" i="1"/>
  <c r="X27" i="1" s="1"/>
  <c r="W25" i="1" s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F10" i="1"/>
  <c r="F35" i="1" s="1"/>
  <c r="G10" i="1"/>
  <c r="G42" i="1" s="1"/>
  <c r="H10" i="1"/>
  <c r="H42" i="1" s="1"/>
  <c r="I10" i="1"/>
  <c r="I42" i="1" s="1"/>
  <c r="J10" i="1"/>
  <c r="J42" i="1" s="1"/>
  <c r="K10" i="1"/>
  <c r="K35" i="1" s="1"/>
  <c r="L10" i="1"/>
  <c r="L35" i="1" s="1"/>
  <c r="M10" i="1"/>
  <c r="M35" i="1" s="1"/>
  <c r="N10" i="1"/>
  <c r="N35" i="1" s="1"/>
  <c r="O10" i="1"/>
  <c r="O42" i="1" s="1"/>
  <c r="P10" i="1"/>
  <c r="P42" i="1" s="1"/>
  <c r="Q10" i="1"/>
  <c r="Q42" i="1" s="1"/>
  <c r="R10" i="1"/>
  <c r="R42" i="1" s="1"/>
  <c r="S10" i="1"/>
  <c r="S35" i="1" s="1"/>
  <c r="T10" i="1"/>
  <c r="T35" i="1" s="1"/>
  <c r="T37" i="1" s="1"/>
  <c r="U10" i="1"/>
  <c r="U35" i="1" s="1"/>
  <c r="V10" i="1"/>
  <c r="V42" i="1" s="1"/>
  <c r="W10" i="1"/>
  <c r="W35" i="1" s="1"/>
  <c r="X10" i="1"/>
  <c r="X35" i="1" s="1"/>
  <c r="F11" i="1"/>
  <c r="F43" i="1" s="1"/>
  <c r="G11" i="1"/>
  <c r="G59" i="1" s="1"/>
  <c r="H11" i="1"/>
  <c r="H59" i="1" s="1"/>
  <c r="I11" i="1"/>
  <c r="I50" i="1" s="1"/>
  <c r="J11" i="1"/>
  <c r="J43" i="1" s="1"/>
  <c r="K11" i="1"/>
  <c r="K43" i="1" s="1"/>
  <c r="L11" i="1"/>
  <c r="L43" i="1" s="1"/>
  <c r="M11" i="1"/>
  <c r="M43" i="1" s="1"/>
  <c r="N11" i="1"/>
  <c r="N43" i="1" s="1"/>
  <c r="O11" i="1"/>
  <c r="O43" i="1" s="1"/>
  <c r="P11" i="1"/>
  <c r="P59" i="1" s="1"/>
  <c r="Q11" i="1"/>
  <c r="Q59" i="1" s="1"/>
  <c r="R11" i="1"/>
  <c r="R59" i="1" s="1"/>
  <c r="S11" i="1"/>
  <c r="S59" i="1" s="1"/>
  <c r="T11" i="1"/>
  <c r="T59" i="1" s="1"/>
  <c r="U11" i="1"/>
  <c r="U50" i="1" s="1"/>
  <c r="V11" i="1"/>
  <c r="V43" i="1" s="1"/>
  <c r="W11" i="1"/>
  <c r="W43" i="1" s="1"/>
  <c r="X11" i="1"/>
  <c r="X43" i="1" s="1"/>
  <c r="F12" i="1"/>
  <c r="F51" i="1" s="1"/>
  <c r="G12" i="1"/>
  <c r="G51" i="1" s="1"/>
  <c r="H12" i="1"/>
  <c r="H51" i="1" s="1"/>
  <c r="J12" i="1"/>
  <c r="J51" i="1" s="1"/>
  <c r="J53" i="1" s="1"/>
  <c r="M12" i="1"/>
  <c r="N12" i="1"/>
  <c r="O12" i="1"/>
  <c r="P12" i="1"/>
  <c r="P51" i="1" s="1"/>
  <c r="Q12" i="1"/>
  <c r="Q51" i="1" s="1"/>
  <c r="R12" i="1"/>
  <c r="R51" i="1" s="1"/>
  <c r="S12" i="1"/>
  <c r="S51" i="1" s="1"/>
  <c r="T12" i="1"/>
  <c r="T51" i="1" s="1"/>
  <c r="T53" i="1" s="1"/>
  <c r="G13" i="1"/>
  <c r="H13" i="1"/>
  <c r="I13" i="1"/>
  <c r="J13" i="1"/>
  <c r="K13" i="1"/>
  <c r="L13" i="1"/>
  <c r="M13" i="1"/>
  <c r="O13" i="1"/>
  <c r="S13" i="1"/>
  <c r="T13" i="1"/>
  <c r="U13" i="1"/>
  <c r="V13" i="1"/>
  <c r="W13" i="1"/>
  <c r="X13" i="1"/>
  <c r="F14" i="1"/>
  <c r="F66" i="1" s="1"/>
  <c r="J14" i="1"/>
  <c r="J66" i="1" s="1"/>
  <c r="M14" i="1"/>
  <c r="M66" i="1" s="1"/>
  <c r="N14" i="1"/>
  <c r="N66" i="1" s="1"/>
  <c r="O14" i="1"/>
  <c r="O66" i="1" s="1"/>
  <c r="P14" i="1"/>
  <c r="P66" i="1" s="1"/>
  <c r="Q14" i="1"/>
  <c r="Q66" i="1" s="1"/>
  <c r="R14" i="1"/>
  <c r="R66" i="1" s="1"/>
  <c r="T14" i="1"/>
  <c r="T66" i="1" s="1"/>
  <c r="G15" i="1"/>
  <c r="H15" i="1"/>
  <c r="I15" i="1"/>
  <c r="J15" i="1"/>
  <c r="K15" i="1"/>
  <c r="O15" i="1"/>
  <c r="S15" i="1"/>
  <c r="T15" i="1"/>
  <c r="U15" i="1"/>
  <c r="V15" i="1"/>
  <c r="W15" i="1"/>
  <c r="G4" i="1"/>
  <c r="G18" i="1" s="1"/>
  <c r="H4" i="1"/>
  <c r="H18" i="1" s="1"/>
  <c r="I4" i="1"/>
  <c r="I18" i="1" s="1"/>
  <c r="J4" i="1"/>
  <c r="J18" i="1" s="1"/>
  <c r="K4" i="1"/>
  <c r="K58" i="1" s="1"/>
  <c r="L4" i="1"/>
  <c r="L58" i="1" s="1"/>
  <c r="M4" i="1"/>
  <c r="M58" i="1" s="1"/>
  <c r="N4" i="1"/>
  <c r="N58" i="1" s="1"/>
  <c r="O4" i="1"/>
  <c r="O58" i="1" s="1"/>
  <c r="P4" i="1"/>
  <c r="P58" i="1" s="1"/>
  <c r="Q4" i="1"/>
  <c r="Q58" i="1" s="1"/>
  <c r="R4" i="1"/>
  <c r="R58" i="1" s="1"/>
  <c r="S4" i="1"/>
  <c r="S18" i="1" s="1"/>
  <c r="T4" i="1"/>
  <c r="T18" i="1" s="1"/>
  <c r="U4" i="1"/>
  <c r="U18" i="1" s="1"/>
  <c r="V4" i="1"/>
  <c r="V18" i="1" s="1"/>
  <c r="W4" i="1"/>
  <c r="W58" i="1" s="1"/>
  <c r="X4" i="1"/>
  <c r="X58" i="1" s="1"/>
  <c r="F4" i="1"/>
  <c r="F58" i="1" s="1"/>
  <c r="X14" i="1" l="1"/>
  <c r="X66" i="1" s="1"/>
  <c r="P18" i="1"/>
  <c r="P34" i="1"/>
  <c r="P15" i="1"/>
  <c r="R13" i="1"/>
  <c r="F13" i="1"/>
  <c r="V14" i="1"/>
  <c r="V66" i="1" s="1"/>
  <c r="Q13" i="1"/>
  <c r="L12" i="1"/>
  <c r="L51" i="1" s="1"/>
  <c r="N19" i="1"/>
  <c r="S27" i="1"/>
  <c r="N26" i="1"/>
  <c r="V35" i="1"/>
  <c r="N42" i="1"/>
  <c r="P43" i="1"/>
  <c r="P50" i="1"/>
  <c r="M67" i="1"/>
  <c r="F15" i="1"/>
  <c r="Q15" i="1"/>
  <c r="U42" i="1"/>
  <c r="K14" i="1"/>
  <c r="K66" i="1" s="1"/>
  <c r="T27" i="1"/>
  <c r="T29" i="1" s="1"/>
  <c r="AA66" i="1"/>
  <c r="X12" i="1"/>
  <c r="X51" i="1" s="1"/>
  <c r="X53" i="1" s="1"/>
  <c r="N15" i="1"/>
  <c r="U14" i="1"/>
  <c r="U66" i="1" s="1"/>
  <c r="I14" i="1"/>
  <c r="I66" i="1" s="1"/>
  <c r="P13" i="1"/>
  <c r="W12" i="1"/>
  <c r="W51" i="1" s="1"/>
  <c r="K12" i="1"/>
  <c r="K51" i="1" s="1"/>
  <c r="M19" i="1"/>
  <c r="R27" i="1"/>
  <c r="M26" i="1"/>
  <c r="M42" i="1"/>
  <c r="I43" i="1"/>
  <c r="O50" i="1"/>
  <c r="L67" i="1"/>
  <c r="W41" i="1"/>
  <c r="W45" i="1" s="1"/>
  <c r="Q18" i="1"/>
  <c r="X67" i="1"/>
  <c r="L14" i="1"/>
  <c r="L66" i="1" s="1"/>
  <c r="U27" i="1"/>
  <c r="O18" i="1"/>
  <c r="O26" i="1"/>
  <c r="T42" i="1"/>
  <c r="N67" i="1"/>
  <c r="X37" i="1"/>
  <c r="L19" i="1"/>
  <c r="Q27" i="1"/>
  <c r="L26" i="1"/>
  <c r="L42" i="1"/>
  <c r="H43" i="1"/>
  <c r="H50" i="1"/>
  <c r="V58" i="1"/>
  <c r="O59" i="1"/>
  <c r="R15" i="1"/>
  <c r="Q34" i="1"/>
  <c r="W14" i="1"/>
  <c r="W66" i="1" s="1"/>
  <c r="O19" i="1"/>
  <c r="O21" i="1" s="1"/>
  <c r="M15" i="1"/>
  <c r="H14" i="1"/>
  <c r="H66" i="1" s="1"/>
  <c r="V12" i="1"/>
  <c r="V51" i="1" s="1"/>
  <c r="X15" i="1"/>
  <c r="S14" i="1"/>
  <c r="S66" i="1" s="1"/>
  <c r="U12" i="1"/>
  <c r="U51" i="1" s="1"/>
  <c r="I12" i="1"/>
  <c r="I51" i="1" s="1"/>
  <c r="K19" i="1"/>
  <c r="P27" i="1"/>
  <c r="K26" i="1"/>
  <c r="J35" i="1"/>
  <c r="J37" i="1" s="1"/>
  <c r="K42" i="1"/>
  <c r="G43" i="1"/>
  <c r="G50" i="1"/>
  <c r="U58" i="1"/>
  <c r="N59" i="1"/>
  <c r="J19" i="1"/>
  <c r="J21" i="1" s="1"/>
  <c r="AA18" i="1"/>
  <c r="AA21" i="1" s="1"/>
  <c r="J26" i="1"/>
  <c r="I35" i="1"/>
  <c r="AA42" i="1"/>
  <c r="T58" i="1"/>
  <c r="M59" i="1"/>
  <c r="I27" i="1"/>
  <c r="H35" i="1"/>
  <c r="AA43" i="1"/>
  <c r="S58" i="1"/>
  <c r="H27" i="1"/>
  <c r="AA50" i="1"/>
  <c r="AA26" i="1"/>
  <c r="AA29" i="1" s="1"/>
  <c r="G27" i="1"/>
  <c r="X42" i="1"/>
  <c r="U43" i="1"/>
  <c r="J58" i="1"/>
  <c r="F18" i="1"/>
  <c r="F42" i="1"/>
  <c r="G35" i="1"/>
  <c r="X59" i="1"/>
  <c r="L59" i="1"/>
  <c r="V67" i="1"/>
  <c r="J67" i="1"/>
  <c r="F34" i="1"/>
  <c r="Q35" i="1"/>
  <c r="U19" i="1"/>
  <c r="U26" i="1"/>
  <c r="I26" i="1"/>
  <c r="P35" i="1"/>
  <c r="AA53" i="1"/>
  <c r="N50" i="1"/>
  <c r="W59" i="1"/>
  <c r="K59" i="1"/>
  <c r="I19" i="1"/>
  <c r="T19" i="1"/>
  <c r="T21" i="1" s="1"/>
  <c r="H19" i="1"/>
  <c r="N18" i="1"/>
  <c r="F26" i="1"/>
  <c r="T26" i="1"/>
  <c r="H26" i="1"/>
  <c r="O35" i="1"/>
  <c r="O37" i="1" s="1"/>
  <c r="S42" i="1"/>
  <c r="F50" i="1"/>
  <c r="M50" i="1"/>
  <c r="V59" i="1"/>
  <c r="J59" i="1"/>
  <c r="R35" i="1"/>
  <c r="K67" i="1"/>
  <c r="S19" i="1"/>
  <c r="G19" i="1"/>
  <c r="M18" i="1"/>
  <c r="S26" i="1"/>
  <c r="G26" i="1"/>
  <c r="X50" i="1"/>
  <c r="W49" i="1" s="1"/>
  <c r="L50" i="1"/>
  <c r="U59" i="1"/>
  <c r="I59" i="1"/>
  <c r="R19" i="1"/>
  <c r="X18" i="1"/>
  <c r="W17" i="1" s="1"/>
  <c r="L18" i="1"/>
  <c r="R26" i="1"/>
  <c r="W50" i="1"/>
  <c r="K50" i="1"/>
  <c r="Q19" i="1"/>
  <c r="W18" i="1"/>
  <c r="W21" i="1" s="1"/>
  <c r="K18" i="1"/>
  <c r="W27" i="1"/>
  <c r="V25" i="1" s="1"/>
  <c r="V50" i="1"/>
  <c r="J50" i="1"/>
  <c r="P19" i="1"/>
  <c r="AA69" i="1"/>
  <c r="AA61" i="1"/>
  <c r="X45" i="1"/>
  <c r="AA37" i="1"/>
  <c r="W33" i="1"/>
  <c r="V33" i="1" s="1"/>
  <c r="U33" i="1" s="1"/>
  <c r="T33" i="1" s="1"/>
  <c r="W29" i="1"/>
  <c r="X29" i="1"/>
  <c r="V29" i="1" l="1"/>
  <c r="U25" i="1"/>
  <c r="U29" i="1" s="1"/>
  <c r="V41" i="1"/>
  <c r="V45" i="1" s="1"/>
  <c r="T25" i="1"/>
  <c r="AA45" i="1"/>
  <c r="W53" i="1"/>
  <c r="X21" i="1"/>
  <c r="V17" i="1"/>
  <c r="V49" i="1"/>
  <c r="U49" i="1" s="1"/>
  <c r="U53" i="1" s="1"/>
  <c r="V53" i="1"/>
  <c r="V37" i="1"/>
  <c r="U37" i="1"/>
  <c r="K39" i="1"/>
  <c r="S33" i="1"/>
  <c r="W37" i="1"/>
  <c r="K31" i="1"/>
  <c r="S25" i="1"/>
  <c r="U17" i="1" l="1"/>
  <c r="V21" i="1"/>
  <c r="U41" i="1"/>
  <c r="U45" i="1" s="1"/>
  <c r="T49" i="1"/>
  <c r="S49" i="1" s="1"/>
  <c r="T41" i="1"/>
  <c r="S37" i="1"/>
  <c r="R33" i="1"/>
  <c r="R25" i="1"/>
  <c r="S29" i="1"/>
  <c r="T17" i="1" l="1"/>
  <c r="U21" i="1"/>
  <c r="K55" i="1"/>
  <c r="S53" i="1"/>
  <c r="R49" i="1"/>
  <c r="K47" i="1"/>
  <c r="T45" i="1"/>
  <c r="S41" i="1"/>
  <c r="Q33" i="1"/>
  <c r="R37" i="1"/>
  <c r="Q25" i="1"/>
  <c r="R29" i="1"/>
  <c r="S17" i="1" l="1"/>
  <c r="K23" i="1"/>
  <c r="R53" i="1"/>
  <c r="Q49" i="1"/>
  <c r="S45" i="1"/>
  <c r="R41" i="1"/>
  <c r="P33" i="1"/>
  <c r="Q37" i="1"/>
  <c r="P25" i="1"/>
  <c r="Q29" i="1"/>
  <c r="R17" i="1" l="1"/>
  <c r="S21" i="1"/>
  <c r="Q53" i="1"/>
  <c r="P49" i="1"/>
  <c r="R45" i="1"/>
  <c r="Q41" i="1"/>
  <c r="O33" i="1"/>
  <c r="N33" i="1" s="1"/>
  <c r="P37" i="1"/>
  <c r="P29" i="1"/>
  <c r="O25" i="1"/>
  <c r="N25" i="1" s="1"/>
  <c r="Q17" i="1" l="1"/>
  <c r="R21" i="1"/>
  <c r="P53" i="1"/>
  <c r="O49" i="1"/>
  <c r="N49" i="1" s="1"/>
  <c r="Q45" i="1"/>
  <c r="P41" i="1"/>
  <c r="N37" i="1"/>
  <c r="M33" i="1"/>
  <c r="N29" i="1"/>
  <c r="M25" i="1"/>
  <c r="P17" i="1" l="1"/>
  <c r="Q21" i="1"/>
  <c r="M49" i="1"/>
  <c r="N53" i="1"/>
  <c r="P45" i="1"/>
  <c r="O41" i="1"/>
  <c r="L33" i="1"/>
  <c r="M37" i="1"/>
  <c r="M29" i="1"/>
  <c r="L25" i="1"/>
  <c r="O17" i="1" l="1"/>
  <c r="N17" i="1" s="1"/>
  <c r="P21" i="1"/>
  <c r="L49" i="1"/>
  <c r="M53" i="1"/>
  <c r="O45" i="1"/>
  <c r="N41" i="1"/>
  <c r="K33" i="1"/>
  <c r="L37" i="1"/>
  <c r="K25" i="1"/>
  <c r="L29" i="1"/>
  <c r="M17" i="1" l="1"/>
  <c r="N21" i="1"/>
  <c r="K49" i="1"/>
  <c r="L53" i="1"/>
  <c r="M41" i="1"/>
  <c r="N45" i="1"/>
  <c r="J33" i="1"/>
  <c r="I33" i="1" s="1"/>
  <c r="K37" i="1"/>
  <c r="K29" i="1"/>
  <c r="J25" i="1"/>
  <c r="I25" i="1" s="1"/>
  <c r="L17" i="1" l="1"/>
  <c r="M21" i="1"/>
  <c r="J49" i="1"/>
  <c r="I49" i="1" s="1"/>
  <c r="K53" i="1"/>
  <c r="M45" i="1"/>
  <c r="L41" i="1"/>
  <c r="H33" i="1"/>
  <c r="I37" i="1"/>
  <c r="I29" i="1"/>
  <c r="H25" i="1"/>
  <c r="K17" i="1" l="1"/>
  <c r="L21" i="1"/>
  <c r="H49" i="1"/>
  <c r="I53" i="1"/>
  <c r="L45" i="1"/>
  <c r="K41" i="1"/>
  <c r="G33" i="1"/>
  <c r="H37" i="1"/>
  <c r="H29" i="1"/>
  <c r="G25" i="1"/>
  <c r="J17" i="1" l="1"/>
  <c r="I17" i="1" s="1"/>
  <c r="K21" i="1"/>
  <c r="H53" i="1"/>
  <c r="G49" i="1"/>
  <c r="J41" i="1"/>
  <c r="K45" i="1"/>
  <c r="F33" i="1"/>
  <c r="G37" i="1"/>
  <c r="F25" i="1"/>
  <c r="G29" i="1"/>
  <c r="E33" i="1" l="1"/>
  <c r="Q39" i="1" s="1"/>
  <c r="H17" i="1"/>
  <c r="I21" i="1"/>
  <c r="E25" i="1"/>
  <c r="Q31" i="1" s="1"/>
  <c r="G53" i="1"/>
  <c r="F49" i="1"/>
  <c r="I41" i="1"/>
  <c r="J45" i="1"/>
  <c r="G39" i="1"/>
  <c r="F37" i="1"/>
  <c r="G31" i="1"/>
  <c r="F29" i="1"/>
  <c r="AC34" i="1" l="1"/>
  <c r="AC26" i="1"/>
  <c r="E49" i="1"/>
  <c r="Q55" i="1" s="1"/>
  <c r="G17" i="1"/>
  <c r="H21" i="1"/>
  <c r="G55" i="1"/>
  <c r="F53" i="1"/>
  <c r="I45" i="1"/>
  <c r="H41" i="1"/>
  <c r="R38" i="1"/>
  <c r="F38" i="1"/>
  <c r="O39" i="1"/>
  <c r="Q38" i="1"/>
  <c r="P38" i="1"/>
  <c r="O38" i="1"/>
  <c r="I39" i="1"/>
  <c r="N38" i="1"/>
  <c r="M38" i="1"/>
  <c r="X38" i="1"/>
  <c r="L38" i="1"/>
  <c r="W38" i="1"/>
  <c r="K38" i="1"/>
  <c r="V38" i="1"/>
  <c r="J38" i="1"/>
  <c r="U38" i="1"/>
  <c r="I38" i="1"/>
  <c r="Y36" i="1"/>
  <c r="M39" i="1" s="1"/>
  <c r="T38" i="1"/>
  <c r="H38" i="1"/>
  <c r="S38" i="1"/>
  <c r="G38" i="1"/>
  <c r="R30" i="1"/>
  <c r="F30" i="1"/>
  <c r="O31" i="1"/>
  <c r="Q30" i="1"/>
  <c r="P30" i="1"/>
  <c r="O30" i="1"/>
  <c r="I31" i="1"/>
  <c r="N30" i="1"/>
  <c r="M30" i="1"/>
  <c r="X30" i="1"/>
  <c r="L30" i="1"/>
  <c r="S30" i="1"/>
  <c r="W30" i="1"/>
  <c r="K30" i="1"/>
  <c r="V30" i="1"/>
  <c r="J30" i="1"/>
  <c r="U30" i="1"/>
  <c r="I30" i="1"/>
  <c r="G30" i="1"/>
  <c r="T30" i="1"/>
  <c r="H30" i="1"/>
  <c r="F17" i="1" l="1"/>
  <c r="G21" i="1"/>
  <c r="AC50" i="1"/>
  <c r="X61" i="1"/>
  <c r="W57" i="1"/>
  <c r="V57" i="1" s="1"/>
  <c r="R54" i="1"/>
  <c r="F54" i="1"/>
  <c r="O55" i="1"/>
  <c r="Q54" i="1"/>
  <c r="P54" i="1"/>
  <c r="O54" i="1"/>
  <c r="I55" i="1"/>
  <c r="N54" i="1"/>
  <c r="M54" i="1"/>
  <c r="X54" i="1"/>
  <c r="L54" i="1"/>
  <c r="W54" i="1"/>
  <c r="K54" i="1"/>
  <c r="V54" i="1"/>
  <c r="J54" i="1"/>
  <c r="U54" i="1"/>
  <c r="I54" i="1"/>
  <c r="T54" i="1"/>
  <c r="H54" i="1"/>
  <c r="S54" i="1"/>
  <c r="G54" i="1"/>
  <c r="Y52" i="1" s="1"/>
  <c r="M55" i="1" s="1"/>
  <c r="H45" i="1"/>
  <c r="G41" i="1"/>
  <c r="Y28" i="1"/>
  <c r="M31" i="1" s="1"/>
  <c r="E17" i="1" l="1"/>
  <c r="Q23" i="1" s="1"/>
  <c r="AC18" i="1" s="1"/>
  <c r="F21" i="1"/>
  <c r="G23" i="1"/>
  <c r="W61" i="1"/>
  <c r="V61" i="1"/>
  <c r="U57" i="1"/>
  <c r="F41" i="1"/>
  <c r="G45" i="1"/>
  <c r="E41" i="1" l="1"/>
  <c r="Q47" i="1" s="1"/>
  <c r="Y20" i="1"/>
  <c r="M23" i="1" s="1"/>
  <c r="S22" i="1"/>
  <c r="H22" i="1"/>
  <c r="R22" i="1"/>
  <c r="M22" i="1"/>
  <c r="N22" i="1"/>
  <c r="J22" i="1"/>
  <c r="G22" i="1"/>
  <c r="X22" i="1"/>
  <c r="I22" i="1"/>
  <c r="V22" i="1"/>
  <c r="I23" i="1"/>
  <c r="Q22" i="1"/>
  <c r="U22" i="1"/>
  <c r="F22" i="1"/>
  <c r="P22" i="1"/>
  <c r="K22" i="1"/>
  <c r="O22" i="1"/>
  <c r="W22" i="1"/>
  <c r="L22" i="1"/>
  <c r="O23" i="1"/>
  <c r="T22" i="1"/>
  <c r="T57" i="1"/>
  <c r="T61" i="1" s="1"/>
  <c r="U61" i="1"/>
  <c r="G47" i="1"/>
  <c r="F45" i="1"/>
  <c r="AC42" i="1" l="1"/>
  <c r="S57" i="1"/>
  <c r="R57" i="1" s="1"/>
  <c r="K63" i="1"/>
  <c r="R46" i="1"/>
  <c r="F46" i="1"/>
  <c r="P46" i="1"/>
  <c r="I47" i="1"/>
  <c r="L46" i="1"/>
  <c r="W46" i="1"/>
  <c r="J46" i="1"/>
  <c r="J69" i="1" s="1"/>
  <c r="U46" i="1"/>
  <c r="T46" i="1"/>
  <c r="T69" i="1" s="1"/>
  <c r="S46" i="1"/>
  <c r="O47" i="1"/>
  <c r="Q46" i="1"/>
  <c r="O46" i="1"/>
  <c r="O69" i="1" s="1"/>
  <c r="N46" i="1"/>
  <c r="M46" i="1"/>
  <c r="X46" i="1"/>
  <c r="K46" i="1"/>
  <c r="V46" i="1"/>
  <c r="I46" i="1"/>
  <c r="H46" i="1"/>
  <c r="G46" i="1"/>
  <c r="S61" i="1" l="1"/>
  <c r="Y44" i="1"/>
  <c r="M47" i="1" s="1"/>
  <c r="X69" i="1"/>
  <c r="W65" i="1"/>
  <c r="V65" i="1" s="1"/>
  <c r="V69" i="1" s="1"/>
  <c r="Q57" i="1"/>
  <c r="R61" i="1"/>
  <c r="W69" i="1" l="1"/>
  <c r="U65" i="1"/>
  <c r="P57" i="1"/>
  <c r="Q61" i="1"/>
  <c r="U69" i="1" l="1"/>
  <c r="T65" i="1"/>
  <c r="O57" i="1"/>
  <c r="P61" i="1"/>
  <c r="K71" i="1" l="1"/>
  <c r="S65" i="1"/>
  <c r="N57" i="1"/>
  <c r="O61" i="1"/>
  <c r="S69" i="1" l="1"/>
  <c r="R65" i="1"/>
  <c r="M57" i="1"/>
  <c r="N61" i="1"/>
  <c r="R69" i="1" l="1"/>
  <c r="Q65" i="1"/>
  <c r="L57" i="1"/>
  <c r="M61" i="1"/>
  <c r="Q69" i="1" l="1"/>
  <c r="P65" i="1"/>
  <c r="K57" i="1"/>
  <c r="L61" i="1"/>
  <c r="O65" i="1" l="1"/>
  <c r="N65" i="1" s="1"/>
  <c r="P69" i="1"/>
  <c r="J57" i="1"/>
  <c r="K61" i="1"/>
  <c r="N69" i="1" l="1"/>
  <c r="M65" i="1"/>
  <c r="I57" i="1"/>
  <c r="J61" i="1"/>
  <c r="L65" i="1" l="1"/>
  <c r="M69" i="1"/>
  <c r="H57" i="1"/>
  <c r="I61" i="1"/>
  <c r="L69" i="1" l="1"/>
  <c r="K65" i="1"/>
  <c r="G57" i="1"/>
  <c r="H61" i="1"/>
  <c r="K69" i="1" l="1"/>
  <c r="J65" i="1"/>
  <c r="I65" i="1" s="1"/>
  <c r="F57" i="1"/>
  <c r="G61" i="1"/>
  <c r="E57" i="1" l="1"/>
  <c r="Q63" i="1" s="1"/>
  <c r="I69" i="1"/>
  <c r="H65" i="1"/>
  <c r="F61" i="1"/>
  <c r="G63" i="1"/>
  <c r="AC58" i="1" l="1"/>
  <c r="H69" i="1"/>
  <c r="G65" i="1"/>
  <c r="X62" i="1"/>
  <c r="G62" i="1"/>
  <c r="K62" i="1"/>
  <c r="V62" i="1"/>
  <c r="J62" i="1"/>
  <c r="I62" i="1"/>
  <c r="I63" i="1"/>
  <c r="L62" i="1"/>
  <c r="W62" i="1"/>
  <c r="R62" i="1"/>
  <c r="O63" i="1"/>
  <c r="Q62" i="1"/>
  <c r="P62" i="1"/>
  <c r="N62" i="1"/>
  <c r="M62" i="1"/>
  <c r="F62" i="1"/>
  <c r="U62" i="1"/>
  <c r="O62" i="1"/>
  <c r="T62" i="1"/>
  <c r="H62" i="1"/>
  <c r="S62" i="1"/>
  <c r="Y60" i="1" l="1"/>
  <c r="M63" i="1" s="1"/>
  <c r="G69" i="1"/>
  <c r="F65" i="1"/>
  <c r="E65" i="1" l="1"/>
  <c r="Q71" i="1" s="1"/>
  <c r="G71" i="1"/>
  <c r="F69" i="1"/>
  <c r="F70" i="1" l="1"/>
  <c r="M70" i="1"/>
  <c r="S70" i="1"/>
  <c r="V70" i="1"/>
  <c r="O70" i="1"/>
  <c r="K70" i="1"/>
  <c r="O71" i="1"/>
  <c r="G70" i="1"/>
  <c r="I70" i="1"/>
  <c r="T70" i="1"/>
  <c r="I71" i="1"/>
  <c r="Y68" i="1"/>
  <c r="M71" i="1" s="1"/>
  <c r="N70" i="1"/>
  <c r="U70" i="1"/>
  <c r="W70" i="1"/>
  <c r="X70" i="1"/>
  <c r="Q70" i="1"/>
  <c r="H70" i="1"/>
  <c r="P70" i="1"/>
  <c r="J70" i="1"/>
  <c r="R70" i="1"/>
  <c r="L70" i="1"/>
  <c r="AC66" i="1"/>
</calcChain>
</file>

<file path=xl/sharedStrings.xml><?xml version="1.0" encoding="utf-8"?>
<sst xmlns="http://schemas.openxmlformats.org/spreadsheetml/2006/main" count="258" uniqueCount="60">
  <si>
    <t xml:space="preserve">A = </t>
  </si>
  <si>
    <t xml:space="preserve">С = 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</si>
  <si>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</si>
  <si>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</si>
  <si>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</si>
  <si>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</si>
  <si>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</si>
  <si>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</si>
  <si>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</si>
  <si>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</si>
  <si>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</si>
  <si>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</si>
  <si>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</si>
  <si>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</si>
  <si>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- x1 =</t>
  </si>
  <si>
    <t>- x2 =</t>
  </si>
  <si>
    <t xml:space="preserve">- x3 = </t>
  </si>
  <si>
    <t>- x4 =</t>
  </si>
  <si>
    <t>- x5 =</t>
  </si>
  <si>
    <t>- x6 =</t>
  </si>
  <si>
    <t>A =</t>
  </si>
  <si>
    <t>C =</t>
  </si>
  <si>
    <t>A + C =</t>
  </si>
  <si>
    <t>A + C + C =</t>
  </si>
  <si>
    <t>C - A =</t>
  </si>
  <si>
    <t>65536 - x4 =</t>
  </si>
  <si>
    <t xml:space="preserve">B1 = 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</si>
  <si>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</si>
  <si>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</si>
  <si>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</si>
  <si>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</si>
  <si>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</si>
  <si>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</si>
  <si>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</si>
  <si>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</si>
  <si>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</si>
  <si>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</si>
  <si>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</si>
  <si>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.</t>
  </si>
  <si>
    <t>Перенос</t>
  </si>
  <si>
    <t>B1</t>
  </si>
  <si>
    <t>+B2</t>
  </si>
  <si>
    <t>-</t>
  </si>
  <si>
    <t xml:space="preserve">CF = </t>
  </si>
  <si>
    <t>PF =</t>
  </si>
  <si>
    <t>AF=</t>
  </si>
  <si>
    <t>ZF =</t>
  </si>
  <si>
    <t>SF=</t>
  </si>
  <si>
    <t>OF=</t>
  </si>
  <si>
    <t>+</t>
  </si>
  <si>
    <t>перевод из допкода</t>
  </si>
  <si>
    <t>B2</t>
  </si>
  <si>
    <t>+B3</t>
  </si>
  <si>
    <t>=</t>
  </si>
  <si>
    <t>+B7</t>
  </si>
  <si>
    <t>B7</t>
  </si>
  <si>
    <t>+B8</t>
  </si>
  <si>
    <t>B8</t>
  </si>
  <si>
    <t>+B9</t>
  </si>
  <si>
    <t>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</si>
</sst>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quotePrefix="1"/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tabSelected="1" view="pageLayout" zoomScale="130" zoomScaleNormal="100" zoomScalePageLayoutView="130" workbookViewId="0">
      <selection sqref="A1:E1048576"/>
    </sheetView>
  </sheetViews>
  <sheetFormatPr defaultRowHeight="15" x14ac:dyDescent="0.25"/>
  <cols>
    <col min="2" max="2" width="12.28515625" customWidth="1"/>
    <col min="4" max="4" width="4.28515625" customWidth="1"/>
    <col min="6" max="24" width="3.85546875" customWidth="1"/>
  </cols>
  <sheetData>
    <row r="1" spans="1:24" ht="15" customHeight="1" x14ac:dyDescent="0.35">
      <c r="B1" s="2" t="s">
        <v>0</v>
      </c>
      <c r="C1" s="3">
        <v>7389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5" customHeight="1" x14ac:dyDescent="0.35">
      <c r="B2" s="2" t="s">
        <v>1</v>
      </c>
      <c r="C2" s="3">
        <v>17178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F3" s="6">
        <v>15</v>
      </c>
      <c r="G3" s="6">
        <v>14</v>
      </c>
      <c r="H3" s="6">
        <v>13</v>
      </c>
      <c r="I3" s="6">
        <v>12</v>
      </c>
      <c r="J3" s="6" t="s">
        <v>38</v>
      </c>
      <c r="K3" s="6">
        <v>11</v>
      </c>
      <c r="L3" s="6">
        <v>10</v>
      </c>
      <c r="M3" s="6">
        <v>9</v>
      </c>
      <c r="N3" s="6">
        <v>8</v>
      </c>
      <c r="O3" s="6" t="s">
        <v>38</v>
      </c>
      <c r="P3" s="6">
        <v>7</v>
      </c>
      <c r="Q3" s="6">
        <v>6</v>
      </c>
      <c r="R3" s="6">
        <v>5</v>
      </c>
      <c r="S3" s="6">
        <v>4</v>
      </c>
      <c r="T3" s="6" t="s">
        <v>38</v>
      </c>
      <c r="U3" s="6">
        <v>3</v>
      </c>
      <c r="V3" s="6">
        <v>2</v>
      </c>
      <c r="W3" s="6">
        <v>1</v>
      </c>
      <c r="X3" s="6">
        <v>0</v>
      </c>
    </row>
    <row r="4" spans="1:24" ht="15.75" x14ac:dyDescent="0.25">
      <c r="A4" s="4" t="s">
        <v>2</v>
      </c>
      <c r="B4" t="s">
        <v>20</v>
      </c>
      <c r="C4">
        <f>C1</f>
        <v>7389</v>
      </c>
      <c r="E4" t="s">
        <v>26</v>
      </c>
      <c r="F4" t="str">
        <f>IF((F$3="."),".",MID(IF($C4&gt;0,_xlfn.BASE($C4,2,16),_xlfn.BASE($C4+2^16,2,16)),16-F$3,1))</f>
        <v>0</v>
      </c>
      <c r="G4" t="str">
        <f>IF((G$3="."),".",MID(IF($C4&gt;0,_xlfn.BASE($C4,2,16),_xlfn.BASE($C4+2^16,2,16)),16-G$3,1))</f>
        <v>0</v>
      </c>
      <c r="H4" t="str">
        <f>IF((H$3="."),".",MID(IF($C4&gt;0,_xlfn.BASE($C4,2,16),_xlfn.BASE($C4+2^16,2,16)),16-H$3,1))</f>
        <v>0</v>
      </c>
      <c r="I4" t="str">
        <f>IF((I$3="."),".",MID(IF($C4&gt;0,_xlfn.BASE($C4,2,16),_xlfn.BASE($C4+2^16,2,16)),16-I$3,1))</f>
        <v>1</v>
      </c>
      <c r="J4" t="str">
        <f>IF((J$3="."),".",MID(IF($C4&gt;0,_xlfn.BASE($C4,2,16),_xlfn.BASE($C4+2^16,2,16)),16-J$3,1))</f>
        <v>.</v>
      </c>
      <c r="K4" t="str">
        <f>IF((K$3="."),".",MID(IF($C4&gt;0,_xlfn.BASE($C4,2,16),_xlfn.BASE($C4+2^16,2,16)),16-K$3,1))</f>
        <v>1</v>
      </c>
      <c r="L4" t="str">
        <f>IF((L$3="."),".",MID(IF($C4&gt;0,_xlfn.BASE($C4,2,16),_xlfn.BASE($C4+2^16,2,16)),16-L$3,1))</f>
        <v>1</v>
      </c>
      <c r="M4" t="str">
        <f>IF((M$3="."),".",MID(IF($C4&gt;0,_xlfn.BASE($C4,2,16),_xlfn.BASE($C4+2^16,2,16)),16-M$3,1))</f>
        <v>0</v>
      </c>
      <c r="N4" t="str">
        <f>IF((N$3="."),".",MID(IF($C4&gt;0,_xlfn.BASE($C4,2,16),_xlfn.BASE($C4+2^16,2,16)),16-N$3,1))</f>
        <v>0</v>
      </c>
      <c r="O4" t="str">
        <f>IF((O$3="."),".",MID(IF($C4&gt;0,_xlfn.BASE($C4,2,16),_xlfn.BASE($C4+2^16,2,16)),16-O$3,1))</f>
        <v>.</v>
      </c>
      <c r="P4" t="str">
        <f>IF((P$3="."),".",MID(IF($C4&gt;0,_xlfn.BASE($C4,2,16),_xlfn.BASE($C4+2^16,2,16)),16-P$3,1))</f>
        <v>1</v>
      </c>
      <c r="Q4" t="str">
        <f>IF((Q$3="."),".",MID(IF($C4&gt;0,_xlfn.BASE($C4,2,16),_xlfn.BASE($C4+2^16,2,16)),16-Q$3,1))</f>
        <v>1</v>
      </c>
      <c r="R4" t="str">
        <f>IF((R$3="."),".",MID(IF($C4&gt;0,_xlfn.BASE($C4,2,16),_xlfn.BASE($C4+2^16,2,16)),16-R$3,1))</f>
        <v>0</v>
      </c>
      <c r="S4" t="str">
        <f>IF((S$3="."),".",MID(IF($C4&gt;0,_xlfn.BASE($C4,2,16),_xlfn.BASE($C4+2^16,2,16)),16-S$3,1))</f>
        <v>1</v>
      </c>
      <c r="T4" t="str">
        <f>IF((T$3="."),".",MID(IF($C4&gt;0,_xlfn.BASE($C4,2,16),_xlfn.BASE($C4+2^16,2,16)),16-T$3,1))</f>
        <v>.</v>
      </c>
      <c r="U4" t="str">
        <f>IF((U$3="."),".",MID(IF($C4&gt;0,_xlfn.BASE($C4,2,16),_xlfn.BASE($C4+2^16,2,16)),16-U$3,1))</f>
        <v>1</v>
      </c>
      <c r="V4" t="str">
        <f>IF((V$3="."),".",MID(IF($C4&gt;0,_xlfn.BASE($C4,2,16),_xlfn.BASE($C4+2^16,2,16)),16-V$3,1))</f>
        <v>1</v>
      </c>
      <c r="W4" t="str">
        <f>IF((W$3="."),".",MID(IF($C4&gt;0,_xlfn.BASE($C4,2,16),_xlfn.BASE($C4+2^16,2,16)),16-W$3,1))</f>
        <v>0</v>
      </c>
      <c r="X4" t="str">
        <f>IF((X$3="."),".",MID(IF($C4&gt;0,_xlfn.BASE($C4,2,16),_xlfn.BASE($C4+2^16,2,16)),16-X$3,1))</f>
        <v>1</v>
      </c>
    </row>
    <row r="5" spans="1:24" ht="15.75" x14ac:dyDescent="0.25">
      <c r="A5" s="4" t="s">
        <v>3</v>
      </c>
      <c r="B5" t="s">
        <v>21</v>
      </c>
      <c r="C5">
        <f>C2</f>
        <v>17178</v>
      </c>
      <c r="E5" t="s">
        <v>27</v>
      </c>
      <c r="F5" t="str">
        <f>IF((F$3="."),".",MID(IF($C5&gt;0,_xlfn.BASE($C5,2,16),_xlfn.BASE($C5+2^16,2,16)),16-F$3,1))</f>
        <v>0</v>
      </c>
      <c r="G5" t="str">
        <f>IF((G$3="."),".",MID(IF($C5&gt;0,_xlfn.BASE($C5,2,16),_xlfn.BASE($C5+2^16,2,16)),16-G$3,1))</f>
        <v>1</v>
      </c>
      <c r="H5" t="str">
        <f>IF((H$3="."),".",MID(IF($C5&gt;0,_xlfn.BASE($C5,2,16),_xlfn.BASE($C5+2^16,2,16)),16-H$3,1))</f>
        <v>0</v>
      </c>
      <c r="I5" t="str">
        <f>IF((I$3="."),".",MID(IF($C5&gt;0,_xlfn.BASE($C5,2,16),_xlfn.BASE($C5+2^16,2,16)),16-I$3,1))</f>
        <v>0</v>
      </c>
      <c r="J5" t="str">
        <f>IF((J$3="."),".",MID(IF($C5&gt;0,_xlfn.BASE($C5,2,16),_xlfn.BASE($C5+2^16,2,16)),16-J$3,1))</f>
        <v>.</v>
      </c>
      <c r="K5" t="str">
        <f>IF((K$3="."),".",MID(IF($C5&gt;0,_xlfn.BASE($C5,2,16),_xlfn.BASE($C5+2^16,2,16)),16-K$3,1))</f>
        <v>0</v>
      </c>
      <c r="L5" t="str">
        <f>IF((L$3="."),".",MID(IF($C5&gt;0,_xlfn.BASE($C5,2,16),_xlfn.BASE($C5+2^16,2,16)),16-L$3,1))</f>
        <v>0</v>
      </c>
      <c r="M5" t="str">
        <f>IF((M$3="."),".",MID(IF($C5&gt;0,_xlfn.BASE($C5,2,16),_xlfn.BASE($C5+2^16,2,16)),16-M$3,1))</f>
        <v>1</v>
      </c>
      <c r="N5" t="str">
        <f>IF((N$3="."),".",MID(IF($C5&gt;0,_xlfn.BASE($C5,2,16),_xlfn.BASE($C5+2^16,2,16)),16-N$3,1))</f>
        <v>1</v>
      </c>
      <c r="O5" t="str">
        <f>IF((O$3="."),".",MID(IF($C5&gt;0,_xlfn.BASE($C5,2,16),_xlfn.BASE($C5+2^16,2,16)),16-O$3,1))</f>
        <v>.</v>
      </c>
      <c r="P5" t="str">
        <f>IF((P$3="."),".",MID(IF($C5&gt;0,_xlfn.BASE($C5,2,16),_xlfn.BASE($C5+2^16,2,16)),16-P$3,1))</f>
        <v>0</v>
      </c>
      <c r="Q5" t="str">
        <f>IF((Q$3="."),".",MID(IF($C5&gt;0,_xlfn.BASE($C5,2,16),_xlfn.BASE($C5+2^16,2,16)),16-Q$3,1))</f>
        <v>0</v>
      </c>
      <c r="R5" t="str">
        <f>IF((R$3="."),".",MID(IF($C5&gt;0,_xlfn.BASE($C5,2,16),_xlfn.BASE($C5+2^16,2,16)),16-R$3,1))</f>
        <v>0</v>
      </c>
      <c r="S5" t="str">
        <f>IF((S$3="."),".",MID(IF($C5&gt;0,_xlfn.BASE($C5,2,16),_xlfn.BASE($C5+2^16,2,16)),16-S$3,1))</f>
        <v>1</v>
      </c>
      <c r="T5" t="str">
        <f>IF((T$3="."),".",MID(IF($C5&gt;0,_xlfn.BASE($C5,2,16),_xlfn.BASE($C5+2^16,2,16)),16-T$3,1))</f>
        <v>.</v>
      </c>
      <c r="U5" t="str">
        <f>IF((U$3="."),".",MID(IF($C5&gt;0,_xlfn.BASE($C5,2,16),_xlfn.BASE($C5+2^16,2,16)),16-U$3,1))</f>
        <v>1</v>
      </c>
      <c r="V5" t="str">
        <f>IF((V$3="."),".",MID(IF($C5&gt;0,_xlfn.BASE($C5,2,16),_xlfn.BASE($C5+2^16,2,16)),16-V$3,1))</f>
        <v>0</v>
      </c>
      <c r="W5" t="str">
        <f>IF((W$3="."),".",MID(IF($C5&gt;0,_xlfn.BASE($C5,2,16),_xlfn.BASE($C5+2^16,2,16)),16-W$3,1))</f>
        <v>1</v>
      </c>
      <c r="X5" t="str">
        <f>IF((X$3="."),".",MID(IF($C5&gt;0,_xlfn.BASE($C5,2,16),_xlfn.BASE($C5+2^16,2,16)),16-X$3,1))</f>
        <v>0</v>
      </c>
    </row>
    <row r="6" spans="1:24" ht="15.75" x14ac:dyDescent="0.25">
      <c r="A6" s="4" t="s">
        <v>4</v>
      </c>
      <c r="B6" t="s">
        <v>22</v>
      </c>
      <c r="C6">
        <f>C1+C2</f>
        <v>24567</v>
      </c>
      <c r="E6" t="s">
        <v>28</v>
      </c>
      <c r="F6" t="str">
        <f>IF((F$3="."),".",MID(IF($C6&gt;0,_xlfn.BASE($C6,2,16),_xlfn.BASE($C6+2^16,2,16)),16-F$3,1))</f>
        <v>0</v>
      </c>
      <c r="G6" t="str">
        <f>IF((G$3="."),".",MID(IF($C6&gt;0,_xlfn.BASE($C6,2,16),_xlfn.BASE($C6+2^16,2,16)),16-G$3,1))</f>
        <v>1</v>
      </c>
      <c r="H6" t="str">
        <f>IF((H$3="."),".",MID(IF($C6&gt;0,_xlfn.BASE($C6,2,16),_xlfn.BASE($C6+2^16,2,16)),16-H$3,1))</f>
        <v>0</v>
      </c>
      <c r="I6" t="str">
        <f>IF((I$3="."),".",MID(IF($C6&gt;0,_xlfn.BASE($C6,2,16),_xlfn.BASE($C6+2^16,2,16)),16-I$3,1))</f>
        <v>1</v>
      </c>
      <c r="J6" t="str">
        <f>IF((J$3="."),".",MID(IF($C6&gt;0,_xlfn.BASE($C6,2,16),_xlfn.BASE($C6+2^16,2,16)),16-J$3,1))</f>
        <v>.</v>
      </c>
      <c r="K6" t="str">
        <f>IF((K$3="."),".",MID(IF($C6&gt;0,_xlfn.BASE($C6,2,16),_xlfn.BASE($C6+2^16,2,16)),16-K$3,1))</f>
        <v>1</v>
      </c>
      <c r="L6" t="str">
        <f>IF((L$3="."),".",MID(IF($C6&gt;0,_xlfn.BASE($C6,2,16),_xlfn.BASE($C6+2^16,2,16)),16-L$3,1))</f>
        <v>1</v>
      </c>
      <c r="M6" t="str">
        <f>IF((M$3="."),".",MID(IF($C6&gt;0,_xlfn.BASE($C6,2,16),_xlfn.BASE($C6+2^16,2,16)),16-M$3,1))</f>
        <v>1</v>
      </c>
      <c r="N6" t="str">
        <f>IF((N$3="."),".",MID(IF($C6&gt;0,_xlfn.BASE($C6,2,16),_xlfn.BASE($C6+2^16,2,16)),16-N$3,1))</f>
        <v>1</v>
      </c>
      <c r="O6" t="str">
        <f>IF((O$3="."),".",MID(IF($C6&gt;0,_xlfn.BASE($C6,2,16),_xlfn.BASE($C6+2^16,2,16)),16-O$3,1))</f>
        <v>.</v>
      </c>
      <c r="P6" t="str">
        <f>IF((P$3="."),".",MID(IF($C6&gt;0,_xlfn.BASE($C6,2,16),_xlfn.BASE($C6+2^16,2,16)),16-P$3,1))</f>
        <v>1</v>
      </c>
      <c r="Q6" t="str">
        <f>IF((Q$3="."),".",MID(IF($C6&gt;0,_xlfn.BASE($C6,2,16),_xlfn.BASE($C6+2^16,2,16)),16-Q$3,1))</f>
        <v>1</v>
      </c>
      <c r="R6" t="str">
        <f>IF((R$3="."),".",MID(IF($C6&gt;0,_xlfn.BASE($C6,2,16),_xlfn.BASE($C6+2^16,2,16)),16-R$3,1))</f>
        <v>1</v>
      </c>
      <c r="S6" t="str">
        <f>IF((S$3="."),".",MID(IF($C6&gt;0,_xlfn.BASE($C6,2,16),_xlfn.BASE($C6+2^16,2,16)),16-S$3,1))</f>
        <v>1</v>
      </c>
      <c r="T6" t="str">
        <f>IF((T$3="."),".",MID(IF($C6&gt;0,_xlfn.BASE($C6,2,16),_xlfn.BASE($C6+2^16,2,16)),16-T$3,1))</f>
        <v>.</v>
      </c>
      <c r="U6" t="str">
        <f>IF((U$3="."),".",MID(IF($C6&gt;0,_xlfn.BASE($C6,2,16),_xlfn.BASE($C6+2^16,2,16)),16-U$3,1))</f>
        <v>0</v>
      </c>
      <c r="V6" t="str">
        <f>IF((V$3="."),".",MID(IF($C6&gt;0,_xlfn.BASE($C6,2,16),_xlfn.BASE($C6+2^16,2,16)),16-V$3,1))</f>
        <v>1</v>
      </c>
      <c r="W6" t="str">
        <f>IF((W$3="."),".",MID(IF($C6&gt;0,_xlfn.BASE($C6,2,16),_xlfn.BASE($C6+2^16,2,16)),16-W$3,1))</f>
        <v>1</v>
      </c>
      <c r="X6" t="str">
        <f>IF((X$3="."),".",MID(IF($C6&gt;0,_xlfn.BASE($C6,2,16),_xlfn.BASE($C6+2^16,2,16)),16-X$3,1))</f>
        <v>1</v>
      </c>
    </row>
    <row r="7" spans="1:24" ht="15.75" x14ac:dyDescent="0.25">
      <c r="A7" s="4" t="s">
        <v>5</v>
      </c>
      <c r="B7" t="s">
        <v>23</v>
      </c>
      <c r="C7">
        <f>C1+C2+C2</f>
        <v>41745</v>
      </c>
      <c r="E7" t="s">
        <v>29</v>
      </c>
      <c r="F7" t="str">
        <f>IF((F$3="."),".",MID(IF($C7&gt;0,_xlfn.BASE($C7,2,16),_xlfn.BASE($C7+2^16,2,16)),16-F$3,1))</f>
        <v>1</v>
      </c>
      <c r="G7" t="str">
        <f>IF((G$3="."),".",MID(IF($C7&gt;0,_xlfn.BASE($C7,2,16),_xlfn.BASE($C7+2^16,2,16)),16-G$3,1))</f>
        <v>0</v>
      </c>
      <c r="H7" t="str">
        <f>IF((H$3="."),".",MID(IF($C7&gt;0,_xlfn.BASE($C7,2,16),_xlfn.BASE($C7+2^16,2,16)),16-H$3,1))</f>
        <v>1</v>
      </c>
      <c r="I7" t="str">
        <f>IF((I$3="."),".",MID(IF($C7&gt;0,_xlfn.BASE($C7,2,16),_xlfn.BASE($C7+2^16,2,16)),16-I$3,1))</f>
        <v>0</v>
      </c>
      <c r="J7" t="str">
        <f>IF((J$3="."),".",MID(IF($C7&gt;0,_xlfn.BASE($C7,2,16),_xlfn.BASE($C7+2^16,2,16)),16-J$3,1))</f>
        <v>.</v>
      </c>
      <c r="K7" t="str">
        <f>IF((K$3="."),".",MID(IF($C7&gt;0,_xlfn.BASE($C7,2,16),_xlfn.BASE($C7+2^16,2,16)),16-K$3,1))</f>
        <v>0</v>
      </c>
      <c r="L7" t="str">
        <f>IF((L$3="."),".",MID(IF($C7&gt;0,_xlfn.BASE($C7,2,16),_xlfn.BASE($C7+2^16,2,16)),16-L$3,1))</f>
        <v>0</v>
      </c>
      <c r="M7" t="str">
        <f>IF((M$3="."),".",MID(IF($C7&gt;0,_xlfn.BASE($C7,2,16),_xlfn.BASE($C7+2^16,2,16)),16-M$3,1))</f>
        <v>1</v>
      </c>
      <c r="N7" t="str">
        <f>IF((N$3="."),".",MID(IF($C7&gt;0,_xlfn.BASE($C7,2,16),_xlfn.BASE($C7+2^16,2,16)),16-N$3,1))</f>
        <v>1</v>
      </c>
      <c r="O7" t="str">
        <f>IF((O$3="."),".",MID(IF($C7&gt;0,_xlfn.BASE($C7,2,16),_xlfn.BASE($C7+2^16,2,16)),16-O$3,1))</f>
        <v>.</v>
      </c>
      <c r="P7" t="str">
        <f>IF((P$3="."),".",MID(IF($C7&gt;0,_xlfn.BASE($C7,2,16),_xlfn.BASE($C7+2^16,2,16)),16-P$3,1))</f>
        <v>0</v>
      </c>
      <c r="Q7" t="str">
        <f>IF((Q$3="."),".",MID(IF($C7&gt;0,_xlfn.BASE($C7,2,16),_xlfn.BASE($C7+2^16,2,16)),16-Q$3,1))</f>
        <v>0</v>
      </c>
      <c r="R7" t="str">
        <f>IF((R$3="."),".",MID(IF($C7&gt;0,_xlfn.BASE($C7,2,16),_xlfn.BASE($C7+2^16,2,16)),16-R$3,1))</f>
        <v>0</v>
      </c>
      <c r="S7" t="str">
        <f>IF((S$3="."),".",MID(IF($C7&gt;0,_xlfn.BASE($C7,2,16),_xlfn.BASE($C7+2^16,2,16)),16-S$3,1))</f>
        <v>1</v>
      </c>
      <c r="T7" t="str">
        <f>IF((T$3="."),".",MID(IF($C7&gt;0,_xlfn.BASE($C7,2,16),_xlfn.BASE($C7+2^16,2,16)),16-T$3,1))</f>
        <v>.</v>
      </c>
      <c r="U7" t="str">
        <f>IF((U$3="."),".",MID(IF($C7&gt;0,_xlfn.BASE($C7,2,16),_xlfn.BASE($C7+2^16,2,16)),16-U$3,1))</f>
        <v>0</v>
      </c>
      <c r="V7" t="str">
        <f>IF((V$3="."),".",MID(IF($C7&gt;0,_xlfn.BASE($C7,2,16),_xlfn.BASE($C7+2^16,2,16)),16-V$3,1))</f>
        <v>0</v>
      </c>
      <c r="W7" t="str">
        <f>IF((W$3="."),".",MID(IF($C7&gt;0,_xlfn.BASE($C7,2,16),_xlfn.BASE($C7+2^16,2,16)),16-W$3,1))</f>
        <v>0</v>
      </c>
      <c r="X7" t="str">
        <f>IF((X$3="."),".",MID(IF($C7&gt;0,_xlfn.BASE($C7,2,16),_xlfn.BASE($C7+2^16,2,16)),16-X$3,1))</f>
        <v>1</v>
      </c>
    </row>
    <row r="8" spans="1:24" ht="15.75" x14ac:dyDescent="0.25">
      <c r="A8" s="4" t="s">
        <v>6</v>
      </c>
      <c r="B8" t="s">
        <v>24</v>
      </c>
      <c r="C8">
        <f>C2-C1</f>
        <v>9789</v>
      </c>
      <c r="E8" t="s">
        <v>30</v>
      </c>
      <c r="F8" t="str">
        <f>IF((F$3="."),".",MID(IF($C8&gt;0,_xlfn.BASE($C8,2,16),_xlfn.BASE($C8+2^16,2,16)),16-F$3,1))</f>
        <v>0</v>
      </c>
      <c r="G8" t="str">
        <f>IF((G$3="."),".",MID(IF($C8&gt;0,_xlfn.BASE($C8,2,16),_xlfn.BASE($C8+2^16,2,16)),16-G$3,1))</f>
        <v>0</v>
      </c>
      <c r="H8" t="str">
        <f>IF((H$3="."),".",MID(IF($C8&gt;0,_xlfn.BASE($C8,2,16),_xlfn.BASE($C8+2^16,2,16)),16-H$3,1))</f>
        <v>1</v>
      </c>
      <c r="I8" t="str">
        <f>IF((I$3="."),".",MID(IF($C8&gt;0,_xlfn.BASE($C8,2,16),_xlfn.BASE($C8+2^16,2,16)),16-I$3,1))</f>
        <v>0</v>
      </c>
      <c r="J8" t="str">
        <f>IF((J$3="."),".",MID(IF($C8&gt;0,_xlfn.BASE($C8,2,16),_xlfn.BASE($C8+2^16,2,16)),16-J$3,1))</f>
        <v>.</v>
      </c>
      <c r="K8" t="str">
        <f>IF((K$3="."),".",MID(IF($C8&gt;0,_xlfn.BASE($C8,2,16),_xlfn.BASE($C8+2^16,2,16)),16-K$3,1))</f>
        <v>0</v>
      </c>
      <c r="L8" t="str">
        <f>IF((L$3="."),".",MID(IF($C8&gt;0,_xlfn.BASE($C8,2,16),_xlfn.BASE($C8+2^16,2,16)),16-L$3,1))</f>
        <v>1</v>
      </c>
      <c r="M8" t="str">
        <f>IF((M$3="."),".",MID(IF($C8&gt;0,_xlfn.BASE($C8,2,16),_xlfn.BASE($C8+2^16,2,16)),16-M$3,1))</f>
        <v>1</v>
      </c>
      <c r="N8" t="str">
        <f>IF((N$3="."),".",MID(IF($C8&gt;0,_xlfn.BASE($C8,2,16),_xlfn.BASE($C8+2^16,2,16)),16-N$3,1))</f>
        <v>0</v>
      </c>
      <c r="O8" t="str">
        <f>IF((O$3="."),".",MID(IF($C8&gt;0,_xlfn.BASE($C8,2,16),_xlfn.BASE($C8+2^16,2,16)),16-O$3,1))</f>
        <v>.</v>
      </c>
      <c r="P8" t="str">
        <f>IF((P$3="."),".",MID(IF($C8&gt;0,_xlfn.BASE($C8,2,16),_xlfn.BASE($C8+2^16,2,16)),16-P$3,1))</f>
        <v>0</v>
      </c>
      <c r="Q8" t="str">
        <f>IF((Q$3="."),".",MID(IF($C8&gt;0,_xlfn.BASE($C8,2,16),_xlfn.BASE($C8+2^16,2,16)),16-Q$3,1))</f>
        <v>0</v>
      </c>
      <c r="R8" t="str">
        <f>IF((R$3="."),".",MID(IF($C8&gt;0,_xlfn.BASE($C8,2,16),_xlfn.BASE($C8+2^16,2,16)),16-R$3,1))</f>
        <v>1</v>
      </c>
      <c r="S8" t="str">
        <f>IF((S$3="."),".",MID(IF($C8&gt;0,_xlfn.BASE($C8,2,16),_xlfn.BASE($C8+2^16,2,16)),16-S$3,1))</f>
        <v>1</v>
      </c>
      <c r="T8" t="str">
        <f>IF((T$3="."),".",MID(IF($C8&gt;0,_xlfn.BASE($C8,2,16),_xlfn.BASE($C8+2^16,2,16)),16-T$3,1))</f>
        <v>.</v>
      </c>
      <c r="U8" t="str">
        <f>IF((U$3="."),".",MID(IF($C8&gt;0,_xlfn.BASE($C8,2,16),_xlfn.BASE($C8+2^16,2,16)),16-U$3,1))</f>
        <v>1</v>
      </c>
      <c r="V8" t="str">
        <f>IF((V$3="."),".",MID(IF($C8&gt;0,_xlfn.BASE($C8,2,16),_xlfn.BASE($C8+2^16,2,16)),16-V$3,1))</f>
        <v>1</v>
      </c>
      <c r="W8" t="str">
        <f>IF((W$3="."),".",MID(IF($C8&gt;0,_xlfn.BASE($C8,2,16),_xlfn.BASE($C8+2^16,2,16)),16-W$3,1))</f>
        <v>0</v>
      </c>
      <c r="X8" t="str">
        <f>IF((X$3="."),".",MID(IF($C8&gt;0,_xlfn.BASE($C8,2,16),_xlfn.BASE($C8+2^16,2,16)),16-X$3,1))</f>
        <v>1</v>
      </c>
    </row>
    <row r="9" spans="1:24" ht="15.75" x14ac:dyDescent="0.25">
      <c r="A9" s="4" t="s">
        <v>7</v>
      </c>
      <c r="B9" t="s">
        <v>25</v>
      </c>
      <c r="C9">
        <f>65536-C7</f>
        <v>23791</v>
      </c>
      <c r="E9" t="s">
        <v>31</v>
      </c>
      <c r="F9" t="str">
        <f>IF((F$3="."),".",MID(IF($C9&gt;0,_xlfn.BASE($C9,2,16),_xlfn.BASE($C9+2^16,2,16)),16-F$3,1))</f>
        <v>0</v>
      </c>
      <c r="G9" t="str">
        <f>IF((G$3="."),".",MID(IF($C9&gt;0,_xlfn.BASE($C9,2,16),_xlfn.BASE($C9+2^16,2,16)),16-G$3,1))</f>
        <v>1</v>
      </c>
      <c r="H9" t="str">
        <f>IF((H$3="."),".",MID(IF($C9&gt;0,_xlfn.BASE($C9,2,16),_xlfn.BASE($C9+2^16,2,16)),16-H$3,1))</f>
        <v>0</v>
      </c>
      <c r="I9" t="str">
        <f>IF((I$3="."),".",MID(IF($C9&gt;0,_xlfn.BASE($C9,2,16),_xlfn.BASE($C9+2^16,2,16)),16-I$3,1))</f>
        <v>1</v>
      </c>
      <c r="J9" t="str">
        <f>IF((J$3="."),".",MID(IF($C9&gt;0,_xlfn.BASE($C9,2,16),_xlfn.BASE($C9+2^16,2,16)),16-J$3,1))</f>
        <v>.</v>
      </c>
      <c r="K9" t="str">
        <f>IF((K$3="."),".",MID(IF($C9&gt;0,_xlfn.BASE($C9,2,16),_xlfn.BASE($C9+2^16,2,16)),16-K$3,1))</f>
        <v>1</v>
      </c>
      <c r="L9" t="str">
        <f>IF((L$3="."),".",MID(IF($C9&gt;0,_xlfn.BASE($C9,2,16),_xlfn.BASE($C9+2^16,2,16)),16-L$3,1))</f>
        <v>1</v>
      </c>
      <c r="M9" t="str">
        <f>IF((M$3="."),".",MID(IF($C9&gt;0,_xlfn.BASE($C9,2,16),_xlfn.BASE($C9+2^16,2,16)),16-M$3,1))</f>
        <v>0</v>
      </c>
      <c r="N9" t="str">
        <f>IF((N$3="."),".",MID(IF($C9&gt;0,_xlfn.BASE($C9,2,16),_xlfn.BASE($C9+2^16,2,16)),16-N$3,1))</f>
        <v>0</v>
      </c>
      <c r="O9" t="str">
        <f>IF((O$3="."),".",MID(IF($C9&gt;0,_xlfn.BASE($C9,2,16),_xlfn.BASE($C9+2^16,2,16)),16-O$3,1))</f>
        <v>.</v>
      </c>
      <c r="P9" t="str">
        <f>IF((P$3="."),".",MID(IF($C9&gt;0,_xlfn.BASE($C9,2,16),_xlfn.BASE($C9+2^16,2,16)),16-P$3,1))</f>
        <v>1</v>
      </c>
      <c r="Q9" t="str">
        <f>IF((Q$3="."),".",MID(IF($C9&gt;0,_xlfn.BASE($C9,2,16),_xlfn.BASE($C9+2^16,2,16)),16-Q$3,1))</f>
        <v>1</v>
      </c>
      <c r="R9" t="str">
        <f>IF((R$3="."),".",MID(IF($C9&gt;0,_xlfn.BASE($C9,2,16),_xlfn.BASE($C9+2^16,2,16)),16-R$3,1))</f>
        <v>1</v>
      </c>
      <c r="S9" t="str">
        <f>IF((S$3="."),".",MID(IF($C9&gt;0,_xlfn.BASE($C9,2,16),_xlfn.BASE($C9+2^16,2,16)),16-S$3,1))</f>
        <v>0</v>
      </c>
      <c r="T9" t="str">
        <f>IF((T$3="."),".",MID(IF($C9&gt;0,_xlfn.BASE($C9,2,16),_xlfn.BASE($C9+2^16,2,16)),16-T$3,1))</f>
        <v>.</v>
      </c>
      <c r="U9" t="str">
        <f>IF((U$3="."),".",MID(IF($C9&gt;0,_xlfn.BASE($C9,2,16),_xlfn.BASE($C9+2^16,2,16)),16-U$3,1))</f>
        <v>1</v>
      </c>
      <c r="V9" t="str">
        <f>IF((V$3="."),".",MID(IF($C9&gt;0,_xlfn.BASE($C9,2,16),_xlfn.BASE($C9+2^16,2,16)),16-V$3,1))</f>
        <v>1</v>
      </c>
      <c r="W9" t="str">
        <f>IF((W$3="."),".",MID(IF($C9&gt;0,_xlfn.BASE($C9,2,16),_xlfn.BASE($C9+2^16,2,16)),16-W$3,1))</f>
        <v>1</v>
      </c>
      <c r="X9" t="str">
        <f>IF((X$3="."),".",MID(IF($C9&gt;0,_xlfn.BASE($C9,2,16),_xlfn.BASE($C9+2^16,2,16)),16-X$3,1))</f>
        <v>1</v>
      </c>
    </row>
    <row r="10" spans="1:24" ht="15.75" x14ac:dyDescent="0.25">
      <c r="A10" s="4" t="s">
        <v>8</v>
      </c>
      <c r="B10" s="5" t="s">
        <v>14</v>
      </c>
      <c r="C10">
        <f>-C4</f>
        <v>-7389</v>
      </c>
      <c r="E10" t="s">
        <v>32</v>
      </c>
      <c r="F10" t="str">
        <f>IF((F$3="."),".",MID(IF($C10&gt;0,_xlfn.BASE($C10,2,16),_xlfn.BASE($C10+2^16,2,16)),16-F$3,1))</f>
        <v>1</v>
      </c>
      <c r="G10" t="str">
        <f>IF((G$3="."),".",MID(IF($C10&gt;0,_xlfn.BASE($C10,2,16),_xlfn.BASE($C10+2^16,2,16)),16-G$3,1))</f>
        <v>1</v>
      </c>
      <c r="H10" t="str">
        <f>IF((H$3="."),".",MID(IF($C10&gt;0,_xlfn.BASE($C10,2,16),_xlfn.BASE($C10+2^16,2,16)),16-H$3,1))</f>
        <v>1</v>
      </c>
      <c r="I10" t="str">
        <f>IF((I$3="."),".",MID(IF($C10&gt;0,_xlfn.BASE($C10,2,16),_xlfn.BASE($C10+2^16,2,16)),16-I$3,1))</f>
        <v>0</v>
      </c>
      <c r="J10" t="str">
        <f>IF((J$3="."),".",MID(IF($C10&gt;0,_xlfn.BASE($C10,2,16),_xlfn.BASE($C10+2^16,2,16)),16-J$3,1))</f>
        <v>.</v>
      </c>
      <c r="K10" t="str">
        <f>IF((K$3="."),".",MID(IF($C10&gt;0,_xlfn.BASE($C10,2,16),_xlfn.BASE($C10+2^16,2,16)),16-K$3,1))</f>
        <v>0</v>
      </c>
      <c r="L10" t="str">
        <f>IF((L$3="."),".",MID(IF($C10&gt;0,_xlfn.BASE($C10,2,16),_xlfn.BASE($C10+2^16,2,16)),16-L$3,1))</f>
        <v>0</v>
      </c>
      <c r="M10" t="str">
        <f>IF((M$3="."),".",MID(IF($C10&gt;0,_xlfn.BASE($C10,2,16),_xlfn.BASE($C10+2^16,2,16)),16-M$3,1))</f>
        <v>1</v>
      </c>
      <c r="N10" t="str">
        <f>IF((N$3="."),".",MID(IF($C10&gt;0,_xlfn.BASE($C10,2,16),_xlfn.BASE($C10+2^16,2,16)),16-N$3,1))</f>
        <v>1</v>
      </c>
      <c r="O10" t="str">
        <f>IF((O$3="."),".",MID(IF($C10&gt;0,_xlfn.BASE($C10,2,16),_xlfn.BASE($C10+2^16,2,16)),16-O$3,1))</f>
        <v>.</v>
      </c>
      <c r="P10" t="str">
        <f>IF((P$3="."),".",MID(IF($C10&gt;0,_xlfn.BASE($C10,2,16),_xlfn.BASE($C10+2^16,2,16)),16-P$3,1))</f>
        <v>0</v>
      </c>
      <c r="Q10" t="str">
        <f>IF((Q$3="."),".",MID(IF($C10&gt;0,_xlfn.BASE($C10,2,16),_xlfn.BASE($C10+2^16,2,16)),16-Q$3,1))</f>
        <v>0</v>
      </c>
      <c r="R10" t="str">
        <f>IF((R$3="."),".",MID(IF($C10&gt;0,_xlfn.BASE($C10,2,16),_xlfn.BASE($C10+2^16,2,16)),16-R$3,1))</f>
        <v>1</v>
      </c>
      <c r="S10" t="str">
        <f>IF((S$3="."),".",MID(IF($C10&gt;0,_xlfn.BASE($C10,2,16),_xlfn.BASE($C10+2^16,2,16)),16-S$3,1))</f>
        <v>0</v>
      </c>
      <c r="T10" t="str">
        <f>IF((T$3="."),".",MID(IF($C10&gt;0,_xlfn.BASE($C10,2,16),_xlfn.BASE($C10+2^16,2,16)),16-T$3,1))</f>
        <v>.</v>
      </c>
      <c r="U10" t="str">
        <f>IF((U$3="."),".",MID(IF($C10&gt;0,_xlfn.BASE($C10,2,16),_xlfn.BASE($C10+2^16,2,16)),16-U$3,1))</f>
        <v>0</v>
      </c>
      <c r="V10" t="str">
        <f>IF((V$3="."),".",MID(IF($C10&gt;0,_xlfn.BASE($C10,2,16),_xlfn.BASE($C10+2^16,2,16)),16-V$3,1))</f>
        <v>0</v>
      </c>
      <c r="W10" t="str">
        <f>IF((W$3="."),".",MID(IF($C10&gt;0,_xlfn.BASE($C10,2,16),_xlfn.BASE($C10+2^16,2,16)),16-W$3,1))</f>
        <v>1</v>
      </c>
      <c r="X10" t="str">
        <f>IF((X$3="."),".",MID(IF($C10&gt;0,_xlfn.BASE($C10,2,16),_xlfn.BASE($C10+2^16,2,16)),16-X$3,1))</f>
        <v>1</v>
      </c>
    </row>
    <row r="11" spans="1:24" ht="15.75" x14ac:dyDescent="0.25">
      <c r="A11" s="4" t="s">
        <v>9</v>
      </c>
      <c r="B11" s="5" t="s">
        <v>15</v>
      </c>
      <c r="C11">
        <f t="shared" ref="C11:C15" si="0">-C5</f>
        <v>-17178</v>
      </c>
      <c r="E11" t="s">
        <v>33</v>
      </c>
      <c r="F11" t="str">
        <f>IF((F$3="."),".",MID(IF($C11&gt;0,_xlfn.BASE($C11,2,16),_xlfn.BASE($C11+2^16,2,16)),16-F$3,1))</f>
        <v>1</v>
      </c>
      <c r="G11" t="str">
        <f>IF((G$3="."),".",MID(IF($C11&gt;0,_xlfn.BASE($C11,2,16),_xlfn.BASE($C11+2^16,2,16)),16-G$3,1))</f>
        <v>0</v>
      </c>
      <c r="H11" t="str">
        <f>IF((H$3="."),".",MID(IF($C11&gt;0,_xlfn.BASE($C11,2,16),_xlfn.BASE($C11+2^16,2,16)),16-H$3,1))</f>
        <v>1</v>
      </c>
      <c r="I11" t="str">
        <f>IF((I$3="."),".",MID(IF($C11&gt;0,_xlfn.BASE($C11,2,16),_xlfn.BASE($C11+2^16,2,16)),16-I$3,1))</f>
        <v>1</v>
      </c>
      <c r="J11" t="str">
        <f>IF((J$3="."),".",MID(IF($C11&gt;0,_xlfn.BASE($C11,2,16),_xlfn.BASE($C11+2^16,2,16)),16-J$3,1))</f>
        <v>.</v>
      </c>
      <c r="K11" t="str">
        <f>IF((K$3="."),".",MID(IF($C11&gt;0,_xlfn.BASE($C11,2,16),_xlfn.BASE($C11+2^16,2,16)),16-K$3,1))</f>
        <v>1</v>
      </c>
      <c r="L11" t="str">
        <f>IF((L$3="."),".",MID(IF($C11&gt;0,_xlfn.BASE($C11,2,16),_xlfn.BASE($C11+2^16,2,16)),16-L$3,1))</f>
        <v>1</v>
      </c>
      <c r="M11" t="str">
        <f>IF((M$3="."),".",MID(IF($C11&gt;0,_xlfn.BASE($C11,2,16),_xlfn.BASE($C11+2^16,2,16)),16-M$3,1))</f>
        <v>0</v>
      </c>
      <c r="N11" t="str">
        <f>IF((N$3="."),".",MID(IF($C11&gt;0,_xlfn.BASE($C11,2,16),_xlfn.BASE($C11+2^16,2,16)),16-N$3,1))</f>
        <v>0</v>
      </c>
      <c r="O11" t="str">
        <f>IF((O$3="."),".",MID(IF($C11&gt;0,_xlfn.BASE($C11,2,16),_xlfn.BASE($C11+2^16,2,16)),16-O$3,1))</f>
        <v>.</v>
      </c>
      <c r="P11" t="str">
        <f>IF((P$3="."),".",MID(IF($C11&gt;0,_xlfn.BASE($C11,2,16),_xlfn.BASE($C11+2^16,2,16)),16-P$3,1))</f>
        <v>1</v>
      </c>
      <c r="Q11" t="str">
        <f>IF((Q$3="."),".",MID(IF($C11&gt;0,_xlfn.BASE($C11,2,16),_xlfn.BASE($C11+2^16,2,16)),16-Q$3,1))</f>
        <v>1</v>
      </c>
      <c r="R11" t="str">
        <f>IF((R$3="."),".",MID(IF($C11&gt;0,_xlfn.BASE($C11,2,16),_xlfn.BASE($C11+2^16,2,16)),16-R$3,1))</f>
        <v>1</v>
      </c>
      <c r="S11" t="str">
        <f>IF((S$3="."),".",MID(IF($C11&gt;0,_xlfn.BASE($C11,2,16),_xlfn.BASE($C11+2^16,2,16)),16-S$3,1))</f>
        <v>0</v>
      </c>
      <c r="T11" t="str">
        <f>IF((T$3="."),".",MID(IF($C11&gt;0,_xlfn.BASE($C11,2,16),_xlfn.BASE($C11+2^16,2,16)),16-T$3,1))</f>
        <v>.</v>
      </c>
      <c r="U11" t="str">
        <f>IF((U$3="."),".",MID(IF($C11&gt;0,_xlfn.BASE($C11,2,16),_xlfn.BASE($C11+2^16,2,16)),16-U$3,1))</f>
        <v>0</v>
      </c>
      <c r="V11" t="str">
        <f>IF((V$3="."),".",MID(IF($C11&gt;0,_xlfn.BASE($C11,2,16),_xlfn.BASE($C11+2^16,2,16)),16-V$3,1))</f>
        <v>1</v>
      </c>
      <c r="W11" t="str">
        <f>IF((W$3="."),".",MID(IF($C11&gt;0,_xlfn.BASE($C11,2,16),_xlfn.BASE($C11+2^16,2,16)),16-W$3,1))</f>
        <v>1</v>
      </c>
      <c r="X11" t="str">
        <f>IF((X$3="."),".",MID(IF($C11&gt;0,_xlfn.BASE($C11,2,16),_xlfn.BASE($C11+2^16,2,16)),16-X$3,1))</f>
        <v>0</v>
      </c>
    </row>
    <row r="12" spans="1:24" ht="15.75" x14ac:dyDescent="0.25">
      <c r="A12" s="4" t="s">
        <v>10</v>
      </c>
      <c r="B12" s="5" t="s">
        <v>16</v>
      </c>
      <c r="C12">
        <f t="shared" si="0"/>
        <v>-24567</v>
      </c>
      <c r="E12" t="s">
        <v>34</v>
      </c>
      <c r="F12" t="str">
        <f>IF((F$3="."),".",MID(IF($C12&gt;0,_xlfn.BASE($C12,2,16),_xlfn.BASE($C12+2^16,2,16)),16-F$3,1))</f>
        <v>1</v>
      </c>
      <c r="G12" t="str">
        <f>IF((G$3="."),".",MID(IF($C12&gt;0,_xlfn.BASE($C12,2,16),_xlfn.BASE($C12+2^16,2,16)),16-G$3,1))</f>
        <v>0</v>
      </c>
      <c r="H12" t="str">
        <f>IF((H$3="."),".",MID(IF($C12&gt;0,_xlfn.BASE($C12,2,16),_xlfn.BASE($C12+2^16,2,16)),16-H$3,1))</f>
        <v>1</v>
      </c>
      <c r="I12" t="str">
        <f>IF((I$3="."),".",MID(IF($C12&gt;0,_xlfn.BASE($C12,2,16),_xlfn.BASE($C12+2^16,2,16)),16-I$3,1))</f>
        <v>0</v>
      </c>
      <c r="J12" t="str">
        <f>IF((J$3="."),".",MID(IF($C12&gt;0,_xlfn.BASE($C12,2,16),_xlfn.BASE($C12+2^16,2,16)),16-J$3,1))</f>
        <v>.</v>
      </c>
      <c r="K12" t="str">
        <f>IF((K$3="."),".",MID(IF($C12&gt;0,_xlfn.BASE($C12,2,16),_xlfn.BASE($C12+2^16,2,16)),16-K$3,1))</f>
        <v>0</v>
      </c>
      <c r="L12" t="str">
        <f>IF((L$3="."),".",MID(IF($C12&gt;0,_xlfn.BASE($C12,2,16),_xlfn.BASE($C12+2^16,2,16)),16-L$3,1))</f>
        <v>0</v>
      </c>
      <c r="M12" t="str">
        <f>IF((M$3="."),".",MID(IF($C12&gt;0,_xlfn.BASE($C12,2,16),_xlfn.BASE($C12+2^16,2,16)),16-M$3,1))</f>
        <v>0</v>
      </c>
      <c r="N12" t="str">
        <f>IF((N$3="."),".",MID(IF($C12&gt;0,_xlfn.BASE($C12,2,16),_xlfn.BASE($C12+2^16,2,16)),16-N$3,1))</f>
        <v>0</v>
      </c>
      <c r="O12" t="str">
        <f>IF((O$3="."),".",MID(IF($C12&gt;0,_xlfn.BASE($C12,2,16),_xlfn.BASE($C12+2^16,2,16)),16-O$3,1))</f>
        <v>.</v>
      </c>
      <c r="P12" t="str">
        <f>IF((P$3="."),".",MID(IF($C12&gt;0,_xlfn.BASE($C12,2,16),_xlfn.BASE($C12+2^16,2,16)),16-P$3,1))</f>
        <v>0</v>
      </c>
      <c r="Q12" t="str">
        <f>IF((Q$3="."),".",MID(IF($C12&gt;0,_xlfn.BASE($C12,2,16),_xlfn.BASE($C12+2^16,2,16)),16-Q$3,1))</f>
        <v>0</v>
      </c>
      <c r="R12" t="str">
        <f>IF((R$3="."),".",MID(IF($C12&gt;0,_xlfn.BASE($C12,2,16),_xlfn.BASE($C12+2^16,2,16)),16-R$3,1))</f>
        <v>0</v>
      </c>
      <c r="S12" t="str">
        <f>IF((S$3="."),".",MID(IF($C12&gt;0,_xlfn.BASE($C12,2,16),_xlfn.BASE($C12+2^16,2,16)),16-S$3,1))</f>
        <v>0</v>
      </c>
      <c r="T12" t="str">
        <f>IF((T$3="."),".",MID(IF($C12&gt;0,_xlfn.BASE($C12,2,16),_xlfn.BASE($C12+2^16,2,16)),16-T$3,1))</f>
        <v>.</v>
      </c>
      <c r="U12" t="str">
        <f>IF((U$3="."),".",MID(IF($C12&gt;0,_xlfn.BASE($C12,2,16),_xlfn.BASE($C12+2^16,2,16)),16-U$3,1))</f>
        <v>1</v>
      </c>
      <c r="V12" t="str">
        <f>IF((V$3="."),".",MID(IF($C12&gt;0,_xlfn.BASE($C12,2,16),_xlfn.BASE($C12+2^16,2,16)),16-V$3,1))</f>
        <v>0</v>
      </c>
      <c r="W12" t="str">
        <f>IF((W$3="."),".",MID(IF($C12&gt;0,_xlfn.BASE($C12,2,16),_xlfn.BASE($C12+2^16,2,16)),16-W$3,1))</f>
        <v>0</v>
      </c>
      <c r="X12" t="str">
        <f>IF((X$3="."),".",MID(IF($C12&gt;0,_xlfn.BASE($C12,2,16),_xlfn.BASE($C12+2^16,2,16)),16-X$3,1))</f>
        <v>1</v>
      </c>
    </row>
    <row r="13" spans="1:24" ht="15.75" x14ac:dyDescent="0.25">
      <c r="A13" s="4" t="s">
        <v>11</v>
      </c>
      <c r="B13" s="5" t="s">
        <v>17</v>
      </c>
      <c r="C13">
        <f t="shared" si="0"/>
        <v>-41745</v>
      </c>
      <c r="E13" t="s">
        <v>35</v>
      </c>
      <c r="F13" t="str">
        <f>IF((F$3="."),".",MID(IF($C13&gt;0,_xlfn.BASE($C13,2,16),_xlfn.BASE($C13+2^16,2,16)),16-F$3,1))</f>
        <v>0</v>
      </c>
      <c r="G13" t="str">
        <f>IF((G$3="."),".",MID(IF($C13&gt;0,_xlfn.BASE($C13,2,16),_xlfn.BASE($C13+2^16,2,16)),16-G$3,1))</f>
        <v>1</v>
      </c>
      <c r="H13" t="str">
        <f>IF((H$3="."),".",MID(IF($C13&gt;0,_xlfn.BASE($C13,2,16),_xlfn.BASE($C13+2^16,2,16)),16-H$3,1))</f>
        <v>0</v>
      </c>
      <c r="I13" t="str">
        <f>IF((I$3="."),".",MID(IF($C13&gt;0,_xlfn.BASE($C13,2,16),_xlfn.BASE($C13+2^16,2,16)),16-I$3,1))</f>
        <v>1</v>
      </c>
      <c r="J13" t="str">
        <f>IF((J$3="."),".",MID(IF($C13&gt;0,_xlfn.BASE($C13,2,16),_xlfn.BASE($C13+2^16,2,16)),16-J$3,1))</f>
        <v>.</v>
      </c>
      <c r="K13" t="str">
        <f>IF((K$3="."),".",MID(IF($C13&gt;0,_xlfn.BASE($C13,2,16),_xlfn.BASE($C13+2^16,2,16)),16-K$3,1))</f>
        <v>1</v>
      </c>
      <c r="L13" t="str">
        <f>IF((L$3="."),".",MID(IF($C13&gt;0,_xlfn.BASE($C13,2,16),_xlfn.BASE($C13+2^16,2,16)),16-L$3,1))</f>
        <v>1</v>
      </c>
      <c r="M13" t="str">
        <f>IF((M$3="."),".",MID(IF($C13&gt;0,_xlfn.BASE($C13,2,16),_xlfn.BASE($C13+2^16,2,16)),16-M$3,1))</f>
        <v>0</v>
      </c>
      <c r="N13" t="str">
        <f>IF((N$3="."),".",MID(IF($C13&gt;0,_xlfn.BASE($C13,2,16),_xlfn.BASE($C13+2^16,2,16)),16-N$3,1))</f>
        <v>0</v>
      </c>
      <c r="O13" t="str">
        <f>IF((O$3="."),".",MID(IF($C13&gt;0,_xlfn.BASE($C13,2,16),_xlfn.BASE($C13+2^16,2,16)),16-O$3,1))</f>
        <v>.</v>
      </c>
      <c r="P13" t="str">
        <f>IF((P$3="."),".",MID(IF($C13&gt;0,_xlfn.BASE($C13,2,16),_xlfn.BASE($C13+2^16,2,16)),16-P$3,1))</f>
        <v>1</v>
      </c>
      <c r="Q13" t="str">
        <f>IF((Q$3="."),".",MID(IF($C13&gt;0,_xlfn.BASE($C13,2,16),_xlfn.BASE($C13+2^16,2,16)),16-Q$3,1))</f>
        <v>1</v>
      </c>
      <c r="R13" t="str">
        <f>IF((R$3="."),".",MID(IF($C13&gt;0,_xlfn.BASE($C13,2,16),_xlfn.BASE($C13+2^16,2,16)),16-R$3,1))</f>
        <v>1</v>
      </c>
      <c r="S13" t="str">
        <f>IF((S$3="."),".",MID(IF($C13&gt;0,_xlfn.BASE($C13,2,16),_xlfn.BASE($C13+2^16,2,16)),16-S$3,1))</f>
        <v>0</v>
      </c>
      <c r="T13" t="str">
        <f>IF((T$3="."),".",MID(IF($C13&gt;0,_xlfn.BASE($C13,2,16),_xlfn.BASE($C13+2^16,2,16)),16-T$3,1))</f>
        <v>.</v>
      </c>
      <c r="U13" t="str">
        <f>IF((U$3="."),".",MID(IF($C13&gt;0,_xlfn.BASE($C13,2,16),_xlfn.BASE($C13+2^16,2,16)),16-U$3,1))</f>
        <v>1</v>
      </c>
      <c r="V13" t="str">
        <f>IF((V$3="."),".",MID(IF($C13&gt;0,_xlfn.BASE($C13,2,16),_xlfn.BASE($C13+2^16,2,16)),16-V$3,1))</f>
        <v>1</v>
      </c>
      <c r="W13" t="str">
        <f>IF((W$3="."),".",MID(IF($C13&gt;0,_xlfn.BASE($C13,2,16),_xlfn.BASE($C13+2^16,2,16)),16-W$3,1))</f>
        <v>1</v>
      </c>
      <c r="X13" t="str">
        <f>IF((X$3="."),".",MID(IF($C13&gt;0,_xlfn.BASE($C13,2,16),_xlfn.BASE($C13+2^16,2,16)),16-X$3,1))</f>
        <v>1</v>
      </c>
    </row>
    <row r="14" spans="1:24" ht="15.75" x14ac:dyDescent="0.25">
      <c r="A14" s="4" t="s">
        <v>12</v>
      </c>
      <c r="B14" s="5" t="s">
        <v>18</v>
      </c>
      <c r="C14">
        <f t="shared" si="0"/>
        <v>-9789</v>
      </c>
      <c r="E14" t="s">
        <v>36</v>
      </c>
      <c r="F14" t="str">
        <f>IF((F$3="."),".",MID(IF($C14&gt;0,_xlfn.BASE($C14,2,16),_xlfn.BASE($C14+2^16,2,16)),16-F$3,1))</f>
        <v>1</v>
      </c>
      <c r="G14" t="str">
        <f>IF((G$3="."),".",MID(IF($C14&gt;0,_xlfn.BASE($C14,2,16),_xlfn.BASE($C14+2^16,2,16)),16-G$3,1))</f>
        <v>1</v>
      </c>
      <c r="H14" t="str">
        <f>IF((H$3="."),".",MID(IF($C14&gt;0,_xlfn.BASE($C14,2,16),_xlfn.BASE($C14+2^16,2,16)),16-H$3,1))</f>
        <v>0</v>
      </c>
      <c r="I14" t="str">
        <f>IF((I$3="."),".",MID(IF($C14&gt;0,_xlfn.BASE($C14,2,16),_xlfn.BASE($C14+2^16,2,16)),16-I$3,1))</f>
        <v>1</v>
      </c>
      <c r="J14" t="str">
        <f>IF((J$3="."),".",MID(IF($C14&gt;0,_xlfn.BASE($C14,2,16),_xlfn.BASE($C14+2^16,2,16)),16-J$3,1))</f>
        <v>.</v>
      </c>
      <c r="K14" t="str">
        <f>IF((K$3="."),".",MID(IF($C14&gt;0,_xlfn.BASE($C14,2,16),_xlfn.BASE($C14+2^16,2,16)),16-K$3,1))</f>
        <v>1</v>
      </c>
      <c r="L14" t="str">
        <f>IF((L$3="."),".",MID(IF($C14&gt;0,_xlfn.BASE($C14,2,16),_xlfn.BASE($C14+2^16,2,16)),16-L$3,1))</f>
        <v>0</v>
      </c>
      <c r="M14" t="str">
        <f>IF((M$3="."),".",MID(IF($C14&gt;0,_xlfn.BASE($C14,2,16),_xlfn.BASE($C14+2^16,2,16)),16-M$3,1))</f>
        <v>0</v>
      </c>
      <c r="N14" t="str">
        <f>IF((N$3="."),".",MID(IF($C14&gt;0,_xlfn.BASE($C14,2,16),_xlfn.BASE($C14+2^16,2,16)),16-N$3,1))</f>
        <v>1</v>
      </c>
      <c r="O14" t="str">
        <f>IF((O$3="."),".",MID(IF($C14&gt;0,_xlfn.BASE($C14,2,16),_xlfn.BASE($C14+2^16,2,16)),16-O$3,1))</f>
        <v>.</v>
      </c>
      <c r="P14" t="str">
        <f>IF((P$3="."),".",MID(IF($C14&gt;0,_xlfn.BASE($C14,2,16),_xlfn.BASE($C14+2^16,2,16)),16-P$3,1))</f>
        <v>1</v>
      </c>
      <c r="Q14" t="str">
        <f>IF((Q$3="."),".",MID(IF($C14&gt;0,_xlfn.BASE($C14,2,16),_xlfn.BASE($C14+2^16,2,16)),16-Q$3,1))</f>
        <v>1</v>
      </c>
      <c r="R14" t="str">
        <f>IF((R$3="."),".",MID(IF($C14&gt;0,_xlfn.BASE($C14,2,16),_xlfn.BASE($C14+2^16,2,16)),16-R$3,1))</f>
        <v>0</v>
      </c>
      <c r="S14" t="str">
        <f>IF((S$3="."),".",MID(IF($C14&gt;0,_xlfn.BASE($C14,2,16),_xlfn.BASE($C14+2^16,2,16)),16-S$3,1))</f>
        <v>0</v>
      </c>
      <c r="T14" t="str">
        <f>IF((T$3="."),".",MID(IF($C14&gt;0,_xlfn.BASE($C14,2,16),_xlfn.BASE($C14+2^16,2,16)),16-T$3,1))</f>
        <v>.</v>
      </c>
      <c r="U14" t="str">
        <f>IF((U$3="."),".",MID(IF($C14&gt;0,_xlfn.BASE($C14,2,16),_xlfn.BASE($C14+2^16,2,16)),16-U$3,1))</f>
        <v>0</v>
      </c>
      <c r="V14" t="str">
        <f>IF((V$3="."),".",MID(IF($C14&gt;0,_xlfn.BASE($C14,2,16),_xlfn.BASE($C14+2^16,2,16)),16-V$3,1))</f>
        <v>0</v>
      </c>
      <c r="W14" t="str">
        <f>IF((W$3="."),".",MID(IF($C14&gt;0,_xlfn.BASE($C14,2,16),_xlfn.BASE($C14+2^16,2,16)),16-W$3,1))</f>
        <v>1</v>
      </c>
      <c r="X14" t="str">
        <f>IF((X$3="."),".",MID(IF($C14&gt;0,_xlfn.BASE($C14,2,16),_xlfn.BASE($C14+2^16,2,16)),16-X$3,1))</f>
        <v>1</v>
      </c>
    </row>
    <row r="15" spans="1:24" ht="15.75" x14ac:dyDescent="0.25">
      <c r="A15" s="4" t="s">
        <v>13</v>
      </c>
      <c r="B15" s="5" t="s">
        <v>19</v>
      </c>
      <c r="C15">
        <f t="shared" si="0"/>
        <v>-23791</v>
      </c>
      <c r="E15" t="s">
        <v>37</v>
      </c>
      <c r="F15" t="str">
        <f>IF((F$3="."),".",MID(IF($C15&gt;0,_xlfn.BASE($C15,2,16),_xlfn.BASE($C15+2^16,2,16)),16-F$3,1))</f>
        <v>1</v>
      </c>
      <c r="G15" t="str">
        <f>IF((G$3="."),".",MID(IF($C15&gt;0,_xlfn.BASE($C15,2,16),_xlfn.BASE($C15+2^16,2,16)),16-G$3,1))</f>
        <v>0</v>
      </c>
      <c r="H15" t="str">
        <f>IF((H$3="."),".",MID(IF($C15&gt;0,_xlfn.BASE($C15,2,16),_xlfn.BASE($C15+2^16,2,16)),16-H$3,1))</f>
        <v>1</v>
      </c>
      <c r="I15" t="str">
        <f>IF((I$3="."),".",MID(IF($C15&gt;0,_xlfn.BASE($C15,2,16),_xlfn.BASE($C15+2^16,2,16)),16-I$3,1))</f>
        <v>0</v>
      </c>
      <c r="J15" t="str">
        <f>IF((J$3="."),".",MID(IF($C15&gt;0,_xlfn.BASE($C15,2,16),_xlfn.BASE($C15+2^16,2,16)),16-J$3,1))</f>
        <v>.</v>
      </c>
      <c r="K15" t="str">
        <f>IF((K$3="."),".",MID(IF($C15&gt;0,_xlfn.BASE($C15,2,16),_xlfn.BASE($C15+2^16,2,16)),16-K$3,1))</f>
        <v>0</v>
      </c>
      <c r="L15" t="str">
        <f>IF((L$3="."),".",MID(IF($C15&gt;0,_xlfn.BASE($C15,2,16),_xlfn.BASE($C15+2^16,2,16)),16-L$3,1))</f>
        <v>0</v>
      </c>
      <c r="M15" t="str">
        <f>IF((M$3="."),".",MID(IF($C15&gt;0,_xlfn.BASE($C15,2,16),_xlfn.BASE($C15+2^16,2,16)),16-M$3,1))</f>
        <v>1</v>
      </c>
      <c r="N15" t="str">
        <f>IF((N$3="."),".",MID(IF($C15&gt;0,_xlfn.BASE($C15,2,16),_xlfn.BASE($C15+2^16,2,16)),16-N$3,1))</f>
        <v>1</v>
      </c>
      <c r="O15" t="str">
        <f>IF((O$3="."),".",MID(IF($C15&gt;0,_xlfn.BASE($C15,2,16),_xlfn.BASE($C15+2^16,2,16)),16-O$3,1))</f>
        <v>.</v>
      </c>
      <c r="P15" t="str">
        <f>IF((P$3="."),".",MID(IF($C15&gt;0,_xlfn.BASE($C15,2,16),_xlfn.BASE($C15+2^16,2,16)),16-P$3,1))</f>
        <v>0</v>
      </c>
      <c r="Q15" t="str">
        <f>IF((Q$3="."),".",MID(IF($C15&gt;0,_xlfn.BASE($C15,2,16),_xlfn.BASE($C15+2^16,2,16)),16-Q$3,1))</f>
        <v>0</v>
      </c>
      <c r="R15" t="str">
        <f>IF((R$3="."),".",MID(IF($C15&gt;0,_xlfn.BASE($C15,2,16),_xlfn.BASE($C15+2^16,2,16)),16-R$3,1))</f>
        <v>0</v>
      </c>
      <c r="S15" t="str">
        <f>IF((S$3="."),".",MID(IF($C15&gt;0,_xlfn.BASE($C15,2,16),_xlfn.BASE($C15+2^16,2,16)),16-S$3,1))</f>
        <v>1</v>
      </c>
      <c r="T15" t="str">
        <f>IF((T$3="."),".",MID(IF($C15&gt;0,_xlfn.BASE($C15,2,16),_xlfn.BASE($C15+2^16,2,16)),16-T$3,1))</f>
        <v>.</v>
      </c>
      <c r="U15" t="str">
        <f>IF((U$3="."),".",MID(IF($C15&gt;0,_xlfn.BASE($C15,2,16),_xlfn.BASE($C15+2^16,2,16)),16-U$3,1))</f>
        <v>0</v>
      </c>
      <c r="V15" t="str">
        <f>IF((V$3="."),".",MID(IF($C15&gt;0,_xlfn.BASE($C15,2,16),_xlfn.BASE($C15+2^16,2,16)),16-V$3,1))</f>
        <v>0</v>
      </c>
      <c r="W15" t="str">
        <f>IF((W$3="."),".",MID(IF($C15&gt;0,_xlfn.BASE($C15,2,16),_xlfn.BASE($C15+2^16,2,16)),16-W$3,1))</f>
        <v>0</v>
      </c>
      <c r="X15" t="str">
        <f>IF((X$3="."),".",MID(IF($C15&gt;0,_xlfn.BASE($C15,2,16),_xlfn.BASE($C15+2^16,2,16)),16-X$3,1))</f>
        <v>1</v>
      </c>
    </row>
    <row r="17" spans="3:29" x14ac:dyDescent="0.25">
      <c r="C17" t="s">
        <v>39</v>
      </c>
      <c r="E17">
        <f>IF(F19+F18+F17&gt;1,1,0)</f>
        <v>0</v>
      </c>
      <c r="F17" s="1">
        <f t="shared" ref="F17:R17" si="1">IF(G18=".",G17,IF((G19+G18+G17&gt;1),1,0))</f>
        <v>0</v>
      </c>
      <c r="G17" s="1">
        <f t="shared" si="1"/>
        <v>0</v>
      </c>
      <c r="H17" s="1">
        <f t="shared" si="1"/>
        <v>0</v>
      </c>
      <c r="I17" s="1">
        <f t="shared" si="1"/>
        <v>0</v>
      </c>
      <c r="J17" s="1">
        <f t="shared" si="1"/>
        <v>0</v>
      </c>
      <c r="K17" s="1">
        <f t="shared" si="1"/>
        <v>0</v>
      </c>
      <c r="L17" s="1">
        <f t="shared" si="1"/>
        <v>0</v>
      </c>
      <c r="M17" s="1">
        <f t="shared" si="1"/>
        <v>0</v>
      </c>
      <c r="N17" s="1">
        <f t="shared" si="1"/>
        <v>0</v>
      </c>
      <c r="O17" s="1">
        <f t="shared" si="1"/>
        <v>0</v>
      </c>
      <c r="P17" s="1">
        <f t="shared" si="1"/>
        <v>0</v>
      </c>
      <c r="Q17" s="1">
        <f t="shared" si="1"/>
        <v>0</v>
      </c>
      <c r="R17" s="1">
        <f t="shared" si="1"/>
        <v>1</v>
      </c>
      <c r="S17" s="1">
        <f>IF(T18=".",T17,IF((T19+T18+T17&gt;1),1,0))</f>
        <v>1</v>
      </c>
      <c r="T17" s="1">
        <f t="shared" ref="T17:X17" si="2">IF(U18=".",U17,IF((U19+U18+U17&gt;1),1,0))</f>
        <v>1</v>
      </c>
      <c r="U17" s="1">
        <f t="shared" si="2"/>
        <v>0</v>
      </c>
      <c r="V17" s="1">
        <f t="shared" si="2"/>
        <v>0</v>
      </c>
      <c r="W17" s="1">
        <f t="shared" si="2"/>
        <v>0</v>
      </c>
      <c r="X17" s="1">
        <f t="shared" si="2"/>
        <v>0</v>
      </c>
    </row>
    <row r="18" spans="3:29" x14ac:dyDescent="0.25">
      <c r="C18" t="s">
        <v>40</v>
      </c>
      <c r="F18" s="1" t="str">
        <f>F4</f>
        <v>0</v>
      </c>
      <c r="G18" s="1" t="str">
        <f t="shared" ref="G18:X18" si="3">G4</f>
        <v>0</v>
      </c>
      <c r="H18" s="1" t="str">
        <f t="shared" si="3"/>
        <v>0</v>
      </c>
      <c r="I18" s="1" t="str">
        <f t="shared" si="3"/>
        <v>1</v>
      </c>
      <c r="J18" s="1" t="str">
        <f t="shared" si="3"/>
        <v>.</v>
      </c>
      <c r="K18" s="1" t="str">
        <f t="shared" si="3"/>
        <v>1</v>
      </c>
      <c r="L18" s="1" t="str">
        <f t="shared" si="3"/>
        <v>1</v>
      </c>
      <c r="M18" s="1" t="str">
        <f t="shared" si="3"/>
        <v>0</v>
      </c>
      <c r="N18" s="1" t="str">
        <f t="shared" si="3"/>
        <v>0</v>
      </c>
      <c r="O18" s="1" t="str">
        <f t="shared" si="3"/>
        <v>.</v>
      </c>
      <c r="P18" s="1" t="str">
        <f t="shared" si="3"/>
        <v>1</v>
      </c>
      <c r="Q18" s="1" t="str">
        <f t="shared" si="3"/>
        <v>1</v>
      </c>
      <c r="R18" s="1" t="str">
        <f t="shared" si="3"/>
        <v>0</v>
      </c>
      <c r="S18" s="1" t="str">
        <f t="shared" si="3"/>
        <v>1</v>
      </c>
      <c r="T18" s="1" t="str">
        <f t="shared" si="3"/>
        <v>.</v>
      </c>
      <c r="U18" s="1" t="str">
        <f t="shared" si="3"/>
        <v>1</v>
      </c>
      <c r="V18" s="1" t="str">
        <f t="shared" si="3"/>
        <v>1</v>
      </c>
      <c r="W18" s="1" t="str">
        <f t="shared" si="3"/>
        <v>0</v>
      </c>
      <c r="X18" s="1" t="str">
        <f t="shared" si="3"/>
        <v>1</v>
      </c>
      <c r="AA18">
        <f>C4</f>
        <v>7389</v>
      </c>
      <c r="AC18" t="str">
        <f>IF(G23=1,IF(Q23=1,"Произошел перенос из старшего разряда и переполнение","Произошёл перенос из старшего разряда"),IF(Q23=1,"Произошло переполнение","все нормально"))</f>
        <v>все нормально</v>
      </c>
    </row>
    <row r="19" spans="3:29" x14ac:dyDescent="0.25">
      <c r="C19" s="5" t="s">
        <v>41</v>
      </c>
      <c r="F19" s="1" t="str">
        <f>F5</f>
        <v>0</v>
      </c>
      <c r="G19" s="1" t="str">
        <f t="shared" ref="G19:X19" si="4">G5</f>
        <v>1</v>
      </c>
      <c r="H19" s="1" t="str">
        <f t="shared" si="4"/>
        <v>0</v>
      </c>
      <c r="I19" s="1" t="str">
        <f t="shared" si="4"/>
        <v>0</v>
      </c>
      <c r="J19" s="1" t="str">
        <f t="shared" si="4"/>
        <v>.</v>
      </c>
      <c r="K19" s="1" t="str">
        <f t="shared" si="4"/>
        <v>0</v>
      </c>
      <c r="L19" s="1" t="str">
        <f t="shared" si="4"/>
        <v>0</v>
      </c>
      <c r="M19" s="1" t="str">
        <f t="shared" si="4"/>
        <v>1</v>
      </c>
      <c r="N19" s="1" t="str">
        <f t="shared" si="4"/>
        <v>1</v>
      </c>
      <c r="O19" s="1" t="str">
        <f t="shared" si="4"/>
        <v>.</v>
      </c>
      <c r="P19" s="1" t="str">
        <f t="shared" si="4"/>
        <v>0</v>
      </c>
      <c r="Q19" s="1" t="str">
        <f t="shared" si="4"/>
        <v>0</v>
      </c>
      <c r="R19" s="1" t="str">
        <f t="shared" si="4"/>
        <v>0</v>
      </c>
      <c r="S19" s="1" t="str">
        <f t="shared" si="4"/>
        <v>1</v>
      </c>
      <c r="T19" s="1" t="str">
        <f t="shared" si="4"/>
        <v>.</v>
      </c>
      <c r="U19" s="1" t="str">
        <f t="shared" si="4"/>
        <v>1</v>
      </c>
      <c r="V19" s="1" t="str">
        <f t="shared" si="4"/>
        <v>0</v>
      </c>
      <c r="W19" s="1" t="str">
        <f t="shared" si="4"/>
        <v>1</v>
      </c>
      <c r="X19" s="1" t="str">
        <f t="shared" si="4"/>
        <v>0</v>
      </c>
      <c r="Z19" s="8" t="s">
        <v>49</v>
      </c>
      <c r="AA19">
        <f>C5</f>
        <v>17178</v>
      </c>
    </row>
    <row r="20" spans="3:29" x14ac:dyDescent="0.25">
      <c r="F20" s="7" t="s">
        <v>42</v>
      </c>
      <c r="G20" s="7" t="s">
        <v>42</v>
      </c>
      <c r="H20" s="7" t="s">
        <v>42</v>
      </c>
      <c r="I20" s="7" t="s">
        <v>42</v>
      </c>
      <c r="J20" s="7" t="s">
        <v>42</v>
      </c>
      <c r="K20" s="7" t="s">
        <v>42</v>
      </c>
      <c r="L20" s="7" t="s">
        <v>42</v>
      </c>
      <c r="M20" s="7" t="s">
        <v>42</v>
      </c>
      <c r="N20" s="7" t="s">
        <v>42</v>
      </c>
      <c r="O20" s="7" t="s">
        <v>42</v>
      </c>
      <c r="P20" s="7" t="s">
        <v>42</v>
      </c>
      <c r="Q20" s="7" t="s">
        <v>42</v>
      </c>
      <c r="R20" s="7" t="s">
        <v>42</v>
      </c>
      <c r="S20" s="7" t="s">
        <v>42</v>
      </c>
      <c r="T20" s="7" t="s">
        <v>42</v>
      </c>
      <c r="U20" s="7" t="s">
        <v>42</v>
      </c>
      <c r="V20" s="7" t="s">
        <v>42</v>
      </c>
      <c r="W20" s="7" t="s">
        <v>42</v>
      </c>
      <c r="X20" s="7" t="s">
        <v>42</v>
      </c>
      <c r="Y20">
        <f>IF(F21=0,_xlfn.DECIMAL(F21&amp;G21&amp;H21&amp;I21&amp;K21&amp;L21&amp;M21&amp;N21&amp;P21&amp;Q21&amp;R21&amp;S21&amp;U21&amp;V21&amp;W21&amp;X21,2),-_xlfn.DECIMAL(G22&amp;H22&amp;I22&amp;K22&amp;L22&amp;M22&amp;N22&amp;P22&amp;Q22&amp;R22&amp;S22&amp;U22&amp;V22&amp;W22&amp;X22,2))</f>
        <v>24567</v>
      </c>
      <c r="AA20" s="7" t="s">
        <v>53</v>
      </c>
    </row>
    <row r="21" spans="3:29" x14ac:dyDescent="0.25">
      <c r="F21" s="1">
        <f t="shared" ref="F21:R21" si="5">IF(F19=".",".",IF(MOD(F19+F18+F17,2)=1,1,0))</f>
        <v>0</v>
      </c>
      <c r="G21" s="1">
        <f t="shared" si="5"/>
        <v>1</v>
      </c>
      <c r="H21" s="1">
        <f t="shared" si="5"/>
        <v>0</v>
      </c>
      <c r="I21" s="1">
        <f t="shared" si="5"/>
        <v>1</v>
      </c>
      <c r="J21" s="1" t="str">
        <f t="shared" si="5"/>
        <v>.</v>
      </c>
      <c r="K21" s="1">
        <f t="shared" si="5"/>
        <v>1</v>
      </c>
      <c r="L21" s="1">
        <f t="shared" si="5"/>
        <v>1</v>
      </c>
      <c r="M21" s="1">
        <f t="shared" si="5"/>
        <v>1</v>
      </c>
      <c r="N21" s="1">
        <f t="shared" si="5"/>
        <v>1</v>
      </c>
      <c r="O21" s="1" t="str">
        <f t="shared" si="5"/>
        <v>.</v>
      </c>
      <c r="P21" s="1">
        <f t="shared" si="5"/>
        <v>1</v>
      </c>
      <c r="Q21" s="1">
        <f t="shared" si="5"/>
        <v>1</v>
      </c>
      <c r="R21" s="1">
        <f t="shared" si="5"/>
        <v>1</v>
      </c>
      <c r="S21" s="1">
        <f>IF(S19=".",".",IF(MOD(S19+S18+S17,2)=1,1,0))</f>
        <v>1</v>
      </c>
      <c r="T21" s="1" t="str">
        <f t="shared" ref="T21:X21" si="6">IF(T19=".",".",IF(MOD(T19+T18+T17,2)=1,1,0))</f>
        <v>.</v>
      </c>
      <c r="U21" s="1">
        <f t="shared" si="6"/>
        <v>0</v>
      </c>
      <c r="V21" s="1">
        <f t="shared" si="6"/>
        <v>1</v>
      </c>
      <c r="W21" s="1">
        <f t="shared" si="6"/>
        <v>1</v>
      </c>
      <c r="X21" s="1">
        <f t="shared" si="6"/>
        <v>1</v>
      </c>
      <c r="Y21" s="1"/>
      <c r="AA21">
        <f>AA18+AA19</f>
        <v>24567</v>
      </c>
    </row>
    <row r="22" spans="3:29" x14ac:dyDescent="0.25">
      <c r="C22" t="s">
        <v>50</v>
      </c>
      <c r="F22" t="str">
        <f>IF($F21=1,IF(F21=".",".",IF((COUNTIF(G21:X21,"1")&gt;0),1-F21,F21)),"")</f>
        <v/>
      </c>
      <c r="G22" t="str">
        <f t="shared" ref="G22:X22" si="7">IF($F21=1,IF(G21=".",".",IF((COUNTIF(H21:Y21,"1")&gt;0),1-G21,G21)),"")</f>
        <v/>
      </c>
      <c r="H22" t="str">
        <f t="shared" si="7"/>
        <v/>
      </c>
      <c r="I22" t="str">
        <f t="shared" si="7"/>
        <v/>
      </c>
      <c r="J22" t="str">
        <f t="shared" si="7"/>
        <v/>
      </c>
      <c r="K22" t="str">
        <f t="shared" si="7"/>
        <v/>
      </c>
      <c r="L22" t="str">
        <f t="shared" si="7"/>
        <v/>
      </c>
      <c r="M22" t="str">
        <f t="shared" si="7"/>
        <v/>
      </c>
      <c r="N22" t="str">
        <f t="shared" si="7"/>
        <v/>
      </c>
      <c r="O22" t="str">
        <f t="shared" si="7"/>
        <v/>
      </c>
      <c r="P22" t="str">
        <f t="shared" si="7"/>
        <v/>
      </c>
      <c r="Q22" t="str">
        <f t="shared" si="7"/>
        <v/>
      </c>
      <c r="R22" t="str">
        <f t="shared" si="7"/>
        <v/>
      </c>
      <c r="S22" t="str">
        <f t="shared" si="7"/>
        <v/>
      </c>
      <c r="T22" t="str">
        <f t="shared" si="7"/>
        <v/>
      </c>
      <c r="U22" t="str">
        <f t="shared" si="7"/>
        <v/>
      </c>
      <c r="V22" t="str">
        <f t="shared" si="7"/>
        <v/>
      </c>
      <c r="W22" t="str">
        <f t="shared" si="7"/>
        <v/>
      </c>
      <c r="X22" t="str">
        <f t="shared" si="7"/>
        <v/>
      </c>
    </row>
    <row r="23" spans="3:29" x14ac:dyDescent="0.25">
      <c r="F23" t="s">
        <v>43</v>
      </c>
      <c r="G23" s="3">
        <f>F17</f>
        <v>0</v>
      </c>
      <c r="H23" t="s">
        <v>44</v>
      </c>
      <c r="I23" s="3">
        <f>IF(MOD(SUM(F21:X21),2)=0,1,0)</f>
        <v>0</v>
      </c>
      <c r="J23" t="s">
        <v>45</v>
      </c>
      <c r="K23" s="3">
        <f>T17</f>
        <v>1</v>
      </c>
      <c r="L23" t="s">
        <v>46</v>
      </c>
      <c r="M23" s="3">
        <f>IF(Y20=0,1,0)</f>
        <v>0</v>
      </c>
      <c r="N23" t="s">
        <v>47</v>
      </c>
      <c r="O23" s="3">
        <f>F21</f>
        <v>0</v>
      </c>
      <c r="P23" t="s">
        <v>48</v>
      </c>
      <c r="Q23" s="3">
        <f>IF(F17&lt;&gt;E17,1,0)</f>
        <v>0</v>
      </c>
    </row>
    <row r="25" spans="3:29" x14ac:dyDescent="0.25">
      <c r="C25" t="s">
        <v>39</v>
      </c>
      <c r="E25">
        <f>IF(F27+F26+F25&gt;1,1,0)</f>
        <v>0</v>
      </c>
      <c r="F25" s="1">
        <f t="shared" ref="F25:R25" si="8">IF(G26=".",G25,IF((G27+G26+G25&gt;1),1,0))</f>
        <v>1</v>
      </c>
      <c r="G25" s="1">
        <f t="shared" si="8"/>
        <v>0</v>
      </c>
      <c r="H25" s="1">
        <f t="shared" si="8"/>
        <v>1</v>
      </c>
      <c r="I25" s="1">
        <f t="shared" si="8"/>
        <v>1</v>
      </c>
      <c r="J25" s="1">
        <f t="shared" si="8"/>
        <v>1</v>
      </c>
      <c r="K25" s="1">
        <f t="shared" si="8"/>
        <v>1</v>
      </c>
      <c r="L25" s="1">
        <f t="shared" si="8"/>
        <v>1</v>
      </c>
      <c r="M25" s="1">
        <f t="shared" si="8"/>
        <v>1</v>
      </c>
      <c r="N25" s="1">
        <f t="shared" si="8"/>
        <v>1</v>
      </c>
      <c r="O25" s="1">
        <f t="shared" si="8"/>
        <v>1</v>
      </c>
      <c r="P25" s="1">
        <f t="shared" si="8"/>
        <v>1</v>
      </c>
      <c r="Q25" s="1">
        <f t="shared" si="8"/>
        <v>1</v>
      </c>
      <c r="R25" s="1">
        <f t="shared" si="8"/>
        <v>1</v>
      </c>
      <c r="S25" s="1">
        <f>IF(T26=".",T25,IF((T27+T26+T25&gt;1),1,0))</f>
        <v>1</v>
      </c>
      <c r="T25" s="1">
        <f t="shared" ref="T25:X25" si="9">IF(U26=".",U25,IF((U27+U26+U25&gt;1),1,0))</f>
        <v>1</v>
      </c>
      <c r="U25" s="1">
        <f t="shared" si="9"/>
        <v>1</v>
      </c>
      <c r="V25" s="1">
        <f t="shared" si="9"/>
        <v>1</v>
      </c>
      <c r="W25" s="1">
        <f t="shared" si="9"/>
        <v>0</v>
      </c>
      <c r="X25" s="1">
        <f t="shared" si="9"/>
        <v>0</v>
      </c>
    </row>
    <row r="26" spans="3:29" x14ac:dyDescent="0.25">
      <c r="C26" t="s">
        <v>51</v>
      </c>
      <c r="F26" s="1" t="str">
        <f>F5</f>
        <v>0</v>
      </c>
      <c r="G26" s="1" t="str">
        <f t="shared" ref="G26:X26" si="10">G5</f>
        <v>1</v>
      </c>
      <c r="H26" s="1" t="str">
        <f t="shared" si="10"/>
        <v>0</v>
      </c>
      <c r="I26" s="1" t="str">
        <f t="shared" si="10"/>
        <v>0</v>
      </c>
      <c r="J26" s="1" t="str">
        <f t="shared" si="10"/>
        <v>.</v>
      </c>
      <c r="K26" s="1" t="str">
        <f t="shared" si="10"/>
        <v>0</v>
      </c>
      <c r="L26" s="1" t="str">
        <f t="shared" si="10"/>
        <v>0</v>
      </c>
      <c r="M26" s="1" t="str">
        <f t="shared" si="10"/>
        <v>1</v>
      </c>
      <c r="N26" s="1" t="str">
        <f t="shared" si="10"/>
        <v>1</v>
      </c>
      <c r="O26" s="1" t="str">
        <f t="shared" si="10"/>
        <v>.</v>
      </c>
      <c r="P26" s="1" t="str">
        <f t="shared" si="10"/>
        <v>0</v>
      </c>
      <c r="Q26" s="1" t="str">
        <f t="shared" si="10"/>
        <v>0</v>
      </c>
      <c r="R26" s="1" t="str">
        <f t="shared" si="10"/>
        <v>0</v>
      </c>
      <c r="S26" s="1" t="str">
        <f t="shared" si="10"/>
        <v>1</v>
      </c>
      <c r="T26" s="1" t="str">
        <f t="shared" si="10"/>
        <v>.</v>
      </c>
      <c r="U26" s="1" t="str">
        <f t="shared" si="10"/>
        <v>1</v>
      </c>
      <c r="V26" s="1" t="str">
        <f t="shared" si="10"/>
        <v>0</v>
      </c>
      <c r="W26" s="1" t="str">
        <f t="shared" si="10"/>
        <v>1</v>
      </c>
      <c r="X26" s="1" t="str">
        <f t="shared" si="10"/>
        <v>0</v>
      </c>
      <c r="AA26">
        <f>C12</f>
        <v>-24567</v>
      </c>
      <c r="AC26" t="str">
        <f>IF(G31=1,IF(Q31=1,"Произошел перенос из старшего разряда и переполнение","Произошёл перенос из старшего разряда"),IF(Q31=1,"Произошло переполнение","все нормально"))</f>
        <v>Произошел перенос из старшего разряда и переполнение</v>
      </c>
    </row>
    <row r="27" spans="3:29" x14ac:dyDescent="0.25">
      <c r="C27" s="5" t="s">
        <v>52</v>
      </c>
      <c r="F27" s="1" t="str">
        <f>F6</f>
        <v>0</v>
      </c>
      <c r="G27" s="1" t="str">
        <f t="shared" ref="G27:X27" si="11">G6</f>
        <v>1</v>
      </c>
      <c r="H27" s="1" t="str">
        <f t="shared" si="11"/>
        <v>0</v>
      </c>
      <c r="I27" s="1" t="str">
        <f t="shared" si="11"/>
        <v>1</v>
      </c>
      <c r="J27" s="1" t="str">
        <f t="shared" si="11"/>
        <v>.</v>
      </c>
      <c r="K27" s="1" t="str">
        <f t="shared" si="11"/>
        <v>1</v>
      </c>
      <c r="L27" s="1" t="str">
        <f t="shared" si="11"/>
        <v>1</v>
      </c>
      <c r="M27" s="1" t="str">
        <f t="shared" si="11"/>
        <v>1</v>
      </c>
      <c r="N27" s="1" t="str">
        <f t="shared" si="11"/>
        <v>1</v>
      </c>
      <c r="O27" s="1" t="str">
        <f t="shared" si="11"/>
        <v>.</v>
      </c>
      <c r="P27" s="1" t="str">
        <f t="shared" si="11"/>
        <v>1</v>
      </c>
      <c r="Q27" s="1" t="str">
        <f t="shared" si="11"/>
        <v>1</v>
      </c>
      <c r="R27" s="1" t="str">
        <f t="shared" si="11"/>
        <v>1</v>
      </c>
      <c r="S27" s="1" t="str">
        <f t="shared" si="11"/>
        <v>1</v>
      </c>
      <c r="T27" s="1" t="str">
        <f t="shared" si="11"/>
        <v>.</v>
      </c>
      <c r="U27" s="1" t="str">
        <f t="shared" si="11"/>
        <v>0</v>
      </c>
      <c r="V27" s="1" t="str">
        <f t="shared" si="11"/>
        <v>1</v>
      </c>
      <c r="W27" s="1" t="str">
        <f t="shared" si="11"/>
        <v>1</v>
      </c>
      <c r="X27" s="1" t="str">
        <f t="shared" si="11"/>
        <v>1</v>
      </c>
      <c r="Z27" s="8" t="s">
        <v>49</v>
      </c>
      <c r="AA27">
        <f>C13</f>
        <v>-41745</v>
      </c>
    </row>
    <row r="28" spans="3:29" x14ac:dyDescent="0.25">
      <c r="F28" s="7" t="s">
        <v>42</v>
      </c>
      <c r="G28" s="7" t="s">
        <v>42</v>
      </c>
      <c r="H28" s="7" t="s">
        <v>42</v>
      </c>
      <c r="I28" s="7" t="s">
        <v>42</v>
      </c>
      <c r="J28" s="7" t="s">
        <v>42</v>
      </c>
      <c r="K28" s="7" t="s">
        <v>42</v>
      </c>
      <c r="L28" s="7" t="s">
        <v>42</v>
      </c>
      <c r="M28" s="7" t="s">
        <v>42</v>
      </c>
      <c r="N28" s="7" t="s">
        <v>42</v>
      </c>
      <c r="O28" s="7" t="s">
        <v>42</v>
      </c>
      <c r="P28" s="7" t="s">
        <v>42</v>
      </c>
      <c r="Q28" s="7" t="s">
        <v>42</v>
      </c>
      <c r="R28" s="7" t="s">
        <v>42</v>
      </c>
      <c r="S28" s="7" t="s">
        <v>42</v>
      </c>
      <c r="T28" s="7" t="s">
        <v>42</v>
      </c>
      <c r="U28" s="7" t="s">
        <v>42</v>
      </c>
      <c r="V28" s="7" t="s">
        <v>42</v>
      </c>
      <c r="W28" s="7" t="s">
        <v>42</v>
      </c>
      <c r="X28" s="7" t="s">
        <v>42</v>
      </c>
      <c r="Y28">
        <f>IF(F29=0,_xlfn.DECIMAL(F29&amp;G29&amp;H29&amp;I29&amp;K29&amp;L29&amp;M29&amp;N29&amp;P29&amp;Q29&amp;R29&amp;S29&amp;U29&amp;V29&amp;W29&amp;X29,2),-_xlfn.DECIMAL(G30&amp;H30&amp;I30&amp;K30&amp;L30&amp;M30&amp;N30&amp;P30&amp;Q30&amp;R30&amp;S30&amp;U30&amp;V30&amp;W30&amp;X30,2))</f>
        <v>-23791</v>
      </c>
      <c r="AA28" s="7" t="s">
        <v>53</v>
      </c>
    </row>
    <row r="29" spans="3:29" x14ac:dyDescent="0.25">
      <c r="F29" s="1">
        <f t="shared" ref="F29:R29" si="12">IF(F27=".",".",IF(MOD(F27+F26+F25,2)=1,1,0))</f>
        <v>1</v>
      </c>
      <c r="G29" s="1">
        <f t="shared" si="12"/>
        <v>0</v>
      </c>
      <c r="H29" s="1">
        <f t="shared" si="12"/>
        <v>1</v>
      </c>
      <c r="I29" s="1">
        <f t="shared" si="12"/>
        <v>0</v>
      </c>
      <c r="J29" s="1" t="str">
        <f t="shared" si="12"/>
        <v>.</v>
      </c>
      <c r="K29" s="1">
        <f t="shared" si="12"/>
        <v>0</v>
      </c>
      <c r="L29" s="1">
        <f t="shared" si="12"/>
        <v>0</v>
      </c>
      <c r="M29" s="1">
        <f t="shared" si="12"/>
        <v>1</v>
      </c>
      <c r="N29" s="1">
        <f t="shared" si="12"/>
        <v>1</v>
      </c>
      <c r="O29" s="1" t="str">
        <f t="shared" si="12"/>
        <v>.</v>
      </c>
      <c r="P29" s="1">
        <f t="shared" si="12"/>
        <v>0</v>
      </c>
      <c r="Q29" s="1">
        <f t="shared" si="12"/>
        <v>0</v>
      </c>
      <c r="R29" s="1">
        <f t="shared" si="12"/>
        <v>0</v>
      </c>
      <c r="S29" s="1">
        <f>IF(S27=".",".",IF(MOD(S27+S26+S25,2)=1,1,0))</f>
        <v>1</v>
      </c>
      <c r="T29" s="1" t="str">
        <f t="shared" ref="T29:X29" si="13">IF(T27=".",".",IF(MOD(T27+T26+T25,2)=1,1,0))</f>
        <v>.</v>
      </c>
      <c r="U29" s="1">
        <f t="shared" si="13"/>
        <v>0</v>
      </c>
      <c r="V29" s="1">
        <f t="shared" si="13"/>
        <v>0</v>
      </c>
      <c r="W29" s="1">
        <f t="shared" si="13"/>
        <v>0</v>
      </c>
      <c r="X29" s="1">
        <f t="shared" si="13"/>
        <v>1</v>
      </c>
      <c r="Y29" s="1"/>
      <c r="AA29">
        <f>AA26+AA27</f>
        <v>-66312</v>
      </c>
    </row>
    <row r="30" spans="3:29" x14ac:dyDescent="0.25">
      <c r="C30" t="s">
        <v>50</v>
      </c>
      <c r="F30" s="9">
        <f>IF($F29=1,IF(F29=".",".",IF((COUNTIF(G29:X29,"1")&gt;0),1-F29,F29)),"")</f>
        <v>0</v>
      </c>
      <c r="G30" s="9">
        <f t="shared" ref="G30" si="14">IF($F29=1,IF(G29=".",".",IF((COUNTIF(H29:Y29,"1")&gt;0),1-G29,G29)),"")</f>
        <v>1</v>
      </c>
      <c r="H30" s="9">
        <f t="shared" ref="H30" si="15">IF($F29=1,IF(H29=".",".",IF((COUNTIF(I29:Z29,"1")&gt;0),1-H29,H29)),"")</f>
        <v>0</v>
      </c>
      <c r="I30" s="9">
        <f t="shared" ref="I30" si="16">IF($F29=1,IF(I29=".",".",IF((COUNTIF(J29:AA29,"1")&gt;0),1-I29,I29)),"")</f>
        <v>1</v>
      </c>
      <c r="J30" s="9" t="str">
        <f t="shared" ref="J30" si="17">IF($F29=1,IF(J29=".",".",IF((COUNTIF(K29:AB29,"1")&gt;0),1-J29,J29)),"")</f>
        <v>.</v>
      </c>
      <c r="K30" s="9">
        <f t="shared" ref="K30" si="18">IF($F29=1,IF(K29=".",".",IF((COUNTIF(L29:AC29,"1")&gt;0),1-K29,K29)),"")</f>
        <v>1</v>
      </c>
      <c r="L30" s="9">
        <f t="shared" ref="L30" si="19">IF($F29=1,IF(L29=".",".",IF((COUNTIF(M29:AD29,"1")&gt;0),1-L29,L29)),"")</f>
        <v>1</v>
      </c>
      <c r="M30" s="9">
        <f t="shared" ref="M30" si="20">IF($F29=1,IF(M29=".",".",IF((COUNTIF(N29:AE29,"1")&gt;0),1-M29,M29)),"")</f>
        <v>0</v>
      </c>
      <c r="N30" s="9">
        <f t="shared" ref="N30" si="21">IF($F29=1,IF(N29=".",".",IF((COUNTIF(O29:AF29,"1")&gt;0),1-N29,N29)),"")</f>
        <v>0</v>
      </c>
      <c r="O30" s="9" t="str">
        <f t="shared" ref="O30" si="22">IF($F29=1,IF(O29=".",".",IF((COUNTIF(P29:AG29,"1")&gt;0),1-O29,O29)),"")</f>
        <v>.</v>
      </c>
      <c r="P30" s="9">
        <f t="shared" ref="P30" si="23">IF($F29=1,IF(P29=".",".",IF((COUNTIF(Q29:AH29,"1")&gt;0),1-P29,P29)),"")</f>
        <v>1</v>
      </c>
      <c r="Q30" s="9">
        <f t="shared" ref="Q30" si="24">IF($F29=1,IF(Q29=".",".",IF((COUNTIF(R29:AI29,"1")&gt;0),1-Q29,Q29)),"")</f>
        <v>1</v>
      </c>
      <c r="R30" s="9">
        <f t="shared" ref="R30" si="25">IF($F29=1,IF(R29=".",".",IF((COUNTIF(S29:AJ29,"1")&gt;0),1-R29,R29)),"")</f>
        <v>1</v>
      </c>
      <c r="S30" s="9">
        <f t="shared" ref="S30" si="26">IF($F29=1,IF(S29=".",".",IF((COUNTIF(T29:AK29,"1")&gt;0),1-S29,S29)),"")</f>
        <v>0</v>
      </c>
      <c r="T30" s="9" t="str">
        <f t="shared" ref="T30" si="27">IF($F29=1,IF(T29=".",".",IF((COUNTIF(U29:AL29,"1")&gt;0),1-T29,T29)),"")</f>
        <v>.</v>
      </c>
      <c r="U30" s="9">
        <f t="shared" ref="U30" si="28">IF($F29=1,IF(U29=".",".",IF((COUNTIF(V29:AM29,"1")&gt;0),1-U29,U29)),"")</f>
        <v>1</v>
      </c>
      <c r="V30" s="9">
        <f t="shared" ref="V30" si="29">IF($F29=1,IF(V29=".",".",IF((COUNTIF(W29:AN29,"1")&gt;0),1-V29,V29)),"")</f>
        <v>1</v>
      </c>
      <c r="W30" s="9">
        <f t="shared" ref="W30" si="30">IF($F29=1,IF(W29=".",".",IF((COUNTIF(X29:AO29,"1")&gt;0),1-W29,W29)),"")</f>
        <v>1</v>
      </c>
      <c r="X30" s="9">
        <f t="shared" ref="X30" si="31">IF($F29=1,IF(X29=".",".",IF((COUNTIF(Y29:AP29,"1")&gt;0),1-X29,X29)),"")</f>
        <v>1</v>
      </c>
    </row>
    <row r="31" spans="3:29" x14ac:dyDescent="0.25">
      <c r="F31" t="s">
        <v>43</v>
      </c>
      <c r="G31" s="3">
        <f>F25</f>
        <v>1</v>
      </c>
      <c r="H31" t="s">
        <v>44</v>
      </c>
      <c r="I31" s="3">
        <f>IF(MOD(SUM(F29:X29),2)=0,1,0)</f>
        <v>1</v>
      </c>
      <c r="J31" t="s">
        <v>45</v>
      </c>
      <c r="K31" s="3">
        <f>T25</f>
        <v>1</v>
      </c>
      <c r="L31" t="s">
        <v>46</v>
      </c>
      <c r="M31" s="3">
        <f>IF(Y28=0,1,0)</f>
        <v>0</v>
      </c>
      <c r="N31" t="s">
        <v>47</v>
      </c>
      <c r="O31" s="3">
        <f>F29</f>
        <v>1</v>
      </c>
      <c r="P31" t="s">
        <v>48</v>
      </c>
      <c r="Q31" s="3">
        <f>IF(F25&lt;&gt;E25,1,0)</f>
        <v>1</v>
      </c>
    </row>
    <row r="33" spans="3:29" x14ac:dyDescent="0.25">
      <c r="C33" t="s">
        <v>39</v>
      </c>
      <c r="E33">
        <f>IF(F35+F34+F33&gt;1,1,0)</f>
        <v>1</v>
      </c>
      <c r="F33" s="1">
        <f t="shared" ref="F33" si="32">IF(G34=".",G33,IF((G35+G34+G33&gt;1),1,0))</f>
        <v>1</v>
      </c>
      <c r="G33" s="1">
        <f t="shared" ref="G33" si="33">IF(H34=".",H33,IF((H35+H34+H33&gt;1),1,0))</f>
        <v>0</v>
      </c>
      <c r="H33" s="1">
        <f t="shared" ref="H33" si="34">IF(I34=".",I33,IF((I35+I34+I33&gt;1),1,0))</f>
        <v>0</v>
      </c>
      <c r="I33" s="1">
        <f t="shared" ref="I33" si="35">IF(J34=".",J33,IF((J35+J34+J33&gt;1),1,0))</f>
        <v>0</v>
      </c>
      <c r="J33" s="1">
        <f t="shared" ref="J33" si="36">IF(K34=".",K33,IF((K35+K34+K33&gt;1),1,0))</f>
        <v>0</v>
      </c>
      <c r="K33" s="1">
        <f t="shared" ref="K33" si="37">IF(L34=".",L33,IF((L35+L34+L33&gt;1),1,0))</f>
        <v>0</v>
      </c>
      <c r="L33" s="1">
        <f t="shared" ref="L33" si="38">IF(M34=".",M33,IF((M35+M34+M33&gt;1),1,0))</f>
        <v>1</v>
      </c>
      <c r="M33" s="1">
        <f t="shared" ref="M33" si="39">IF(N34=".",N33,IF((N35+N34+N33&gt;1),1,0))</f>
        <v>1</v>
      </c>
      <c r="N33" s="1">
        <f t="shared" ref="N33" si="40">IF(O34=".",O33,IF((O35+O34+O33&gt;1),1,0))</f>
        <v>0</v>
      </c>
      <c r="O33" s="1">
        <f t="shared" ref="O33" si="41">IF(P34=".",P33,IF((P35+P34+P33&gt;1),1,0))</f>
        <v>0</v>
      </c>
      <c r="P33" s="1">
        <f t="shared" ref="P33" si="42">IF(Q34=".",Q33,IF((Q35+Q34+Q33&gt;1),1,0))</f>
        <v>0</v>
      </c>
      <c r="Q33" s="1">
        <f t="shared" ref="Q33" si="43">IF(R34=".",R33,IF((R35+R34+R33&gt;1),1,0))</f>
        <v>0</v>
      </c>
      <c r="R33" s="1">
        <f t="shared" ref="R33" si="44">IF(S34=".",S33,IF((S35+S34+S33&gt;1),1,0))</f>
        <v>0</v>
      </c>
      <c r="S33" s="1">
        <f>IF(T34=".",T33,IF((T35+T34+T33&gt;1),1,0))</f>
        <v>0</v>
      </c>
      <c r="T33" s="1">
        <f t="shared" ref="T33" si="45">IF(U34=".",U33,IF((U35+U34+U33&gt;1),1,0))</f>
        <v>0</v>
      </c>
      <c r="U33" s="1">
        <f t="shared" ref="U33" si="46">IF(V34=".",V33,IF((V35+V34+V33&gt;1),1,0))</f>
        <v>0</v>
      </c>
      <c r="V33" s="1">
        <f t="shared" ref="V33" si="47">IF(W34=".",W33,IF((W35+W34+W33&gt;1),1,0))</f>
        <v>1</v>
      </c>
      <c r="W33" s="1">
        <f t="shared" ref="W33" si="48">IF(X34=".",X33,IF((X35+X34+X33&gt;1),1,0))</f>
        <v>0</v>
      </c>
      <c r="X33" s="1">
        <f t="shared" ref="X33" si="49">IF(Y34=".",Y33,IF((Y35+Y34+Y33&gt;1),1,0))</f>
        <v>0</v>
      </c>
    </row>
    <row r="34" spans="3:29" x14ac:dyDescent="0.25">
      <c r="C34" t="s">
        <v>51</v>
      </c>
      <c r="F34" s="1" t="str">
        <f>F5</f>
        <v>0</v>
      </c>
      <c r="G34" s="1" t="str">
        <f t="shared" ref="G34:X34" si="50">G5</f>
        <v>1</v>
      </c>
      <c r="H34" s="1" t="str">
        <f t="shared" si="50"/>
        <v>0</v>
      </c>
      <c r="I34" s="1" t="str">
        <f t="shared" si="50"/>
        <v>0</v>
      </c>
      <c r="J34" s="1" t="str">
        <f t="shared" si="50"/>
        <v>.</v>
      </c>
      <c r="K34" s="1" t="str">
        <f t="shared" si="50"/>
        <v>0</v>
      </c>
      <c r="L34" s="1" t="str">
        <f t="shared" si="50"/>
        <v>0</v>
      </c>
      <c r="M34" s="1" t="str">
        <f t="shared" si="50"/>
        <v>1</v>
      </c>
      <c r="N34" s="1" t="str">
        <f t="shared" si="50"/>
        <v>1</v>
      </c>
      <c r="O34" s="1" t="str">
        <f t="shared" si="50"/>
        <v>.</v>
      </c>
      <c r="P34" s="1" t="str">
        <f t="shared" si="50"/>
        <v>0</v>
      </c>
      <c r="Q34" s="1" t="str">
        <f t="shared" si="50"/>
        <v>0</v>
      </c>
      <c r="R34" s="1" t="str">
        <f t="shared" si="50"/>
        <v>0</v>
      </c>
      <c r="S34" s="1" t="str">
        <f t="shared" si="50"/>
        <v>1</v>
      </c>
      <c r="T34" s="1" t="str">
        <f t="shared" si="50"/>
        <v>.</v>
      </c>
      <c r="U34" s="1" t="str">
        <f t="shared" si="50"/>
        <v>1</v>
      </c>
      <c r="V34" s="1" t="str">
        <f t="shared" si="50"/>
        <v>0</v>
      </c>
      <c r="W34" s="1" t="str">
        <f t="shared" si="50"/>
        <v>1</v>
      </c>
      <c r="X34" s="1" t="str">
        <f t="shared" si="50"/>
        <v>0</v>
      </c>
      <c r="AA34">
        <f>C5</f>
        <v>17178</v>
      </c>
      <c r="AC34" t="str">
        <f>IF(G39=1,IF(Q39=1,"Произошел перенос из старшего разряда и переполнение","Произошёл перенос из старшего разряда"),IF(Q39=1,"Произошло переполнение","все нормально"))</f>
        <v>Произошёл перенос из старшего разряда</v>
      </c>
    </row>
    <row r="35" spans="3:29" x14ac:dyDescent="0.25">
      <c r="C35" s="5" t="s">
        <v>54</v>
      </c>
      <c r="F35" s="1" t="str">
        <f>F10</f>
        <v>1</v>
      </c>
      <c r="G35" s="1" t="str">
        <f t="shared" ref="G35:X35" si="51">G10</f>
        <v>1</v>
      </c>
      <c r="H35" s="1" t="str">
        <f t="shared" si="51"/>
        <v>1</v>
      </c>
      <c r="I35" s="1" t="str">
        <f t="shared" si="51"/>
        <v>0</v>
      </c>
      <c r="J35" s="1" t="str">
        <f t="shared" si="51"/>
        <v>.</v>
      </c>
      <c r="K35" s="1" t="str">
        <f t="shared" si="51"/>
        <v>0</v>
      </c>
      <c r="L35" s="1" t="str">
        <f t="shared" si="51"/>
        <v>0</v>
      </c>
      <c r="M35" s="1" t="str">
        <f t="shared" si="51"/>
        <v>1</v>
      </c>
      <c r="N35" s="1" t="str">
        <f t="shared" si="51"/>
        <v>1</v>
      </c>
      <c r="O35" s="1" t="str">
        <f t="shared" si="51"/>
        <v>.</v>
      </c>
      <c r="P35" s="1" t="str">
        <f t="shared" si="51"/>
        <v>0</v>
      </c>
      <c r="Q35" s="1" t="str">
        <f t="shared" si="51"/>
        <v>0</v>
      </c>
      <c r="R35" s="1" t="str">
        <f t="shared" si="51"/>
        <v>1</v>
      </c>
      <c r="S35" s="1" t="str">
        <f t="shared" si="51"/>
        <v>0</v>
      </c>
      <c r="T35" s="1" t="str">
        <f t="shared" si="51"/>
        <v>.</v>
      </c>
      <c r="U35" s="1" t="str">
        <f t="shared" si="51"/>
        <v>0</v>
      </c>
      <c r="V35" s="1" t="str">
        <f t="shared" si="51"/>
        <v>0</v>
      </c>
      <c r="W35" s="1" t="str">
        <f t="shared" si="51"/>
        <v>1</v>
      </c>
      <c r="X35" s="1" t="str">
        <f t="shared" si="51"/>
        <v>1</v>
      </c>
      <c r="Z35" s="8" t="s">
        <v>49</v>
      </c>
      <c r="AA35">
        <f>C10</f>
        <v>-7389</v>
      </c>
    </row>
    <row r="36" spans="3:29" x14ac:dyDescent="0.25">
      <c r="F36" s="7" t="s">
        <v>42</v>
      </c>
      <c r="G36" s="7" t="s">
        <v>42</v>
      </c>
      <c r="H36" s="7" t="s">
        <v>42</v>
      </c>
      <c r="I36" s="7" t="s">
        <v>42</v>
      </c>
      <c r="J36" s="7" t="s">
        <v>42</v>
      </c>
      <c r="K36" s="7" t="s">
        <v>42</v>
      </c>
      <c r="L36" s="7" t="s">
        <v>42</v>
      </c>
      <c r="M36" s="7" t="s">
        <v>42</v>
      </c>
      <c r="N36" s="7" t="s">
        <v>42</v>
      </c>
      <c r="O36" s="7" t="s">
        <v>42</v>
      </c>
      <c r="P36" s="7" t="s">
        <v>42</v>
      </c>
      <c r="Q36" s="7" t="s">
        <v>42</v>
      </c>
      <c r="R36" s="7" t="s">
        <v>42</v>
      </c>
      <c r="S36" s="7" t="s">
        <v>42</v>
      </c>
      <c r="T36" s="7" t="s">
        <v>42</v>
      </c>
      <c r="U36" s="7" t="s">
        <v>42</v>
      </c>
      <c r="V36" s="7" t="s">
        <v>42</v>
      </c>
      <c r="W36" s="7" t="s">
        <v>42</v>
      </c>
      <c r="X36" s="7" t="s">
        <v>42</v>
      </c>
      <c r="Y36">
        <f>IF(F37=0,_xlfn.DECIMAL(F37&amp;G37&amp;H37&amp;I37&amp;K37&amp;L37&amp;M37&amp;N37&amp;P37&amp;Q37&amp;R37&amp;S37&amp;U37&amp;V37&amp;W37&amp;X37,2),-_xlfn.DECIMAL(G38&amp;H38&amp;I38&amp;K38&amp;L38&amp;M38&amp;N38&amp;P38&amp;Q38&amp;R38&amp;S38&amp;U38&amp;V38&amp;W38&amp;X38,2))</f>
        <v>9789</v>
      </c>
      <c r="AA36" s="7" t="s">
        <v>53</v>
      </c>
    </row>
    <row r="37" spans="3:29" x14ac:dyDescent="0.25">
      <c r="F37" s="1">
        <f t="shared" ref="F37:R37" si="52">IF(F35=".",".",IF(MOD(F35+F34+F33,2)=1,1,0))</f>
        <v>0</v>
      </c>
      <c r="G37" s="1">
        <f t="shared" si="52"/>
        <v>0</v>
      </c>
      <c r="H37" s="1">
        <f t="shared" si="52"/>
        <v>1</v>
      </c>
      <c r="I37" s="1">
        <f t="shared" si="52"/>
        <v>0</v>
      </c>
      <c r="J37" s="1" t="str">
        <f t="shared" si="52"/>
        <v>.</v>
      </c>
      <c r="K37" s="1">
        <f t="shared" si="52"/>
        <v>0</v>
      </c>
      <c r="L37" s="1">
        <f t="shared" si="52"/>
        <v>1</v>
      </c>
      <c r="M37" s="1">
        <f t="shared" si="52"/>
        <v>1</v>
      </c>
      <c r="N37" s="1">
        <f t="shared" si="52"/>
        <v>0</v>
      </c>
      <c r="O37" s="1" t="str">
        <f t="shared" si="52"/>
        <v>.</v>
      </c>
      <c r="P37" s="1">
        <f t="shared" si="52"/>
        <v>0</v>
      </c>
      <c r="Q37" s="1">
        <f t="shared" si="52"/>
        <v>0</v>
      </c>
      <c r="R37" s="1">
        <f t="shared" si="52"/>
        <v>1</v>
      </c>
      <c r="S37" s="1">
        <f>IF(S35=".",".",IF(MOD(S35+S34+S33,2)=1,1,0))</f>
        <v>1</v>
      </c>
      <c r="T37" s="1" t="str">
        <f t="shared" ref="T37:X37" si="53">IF(T35=".",".",IF(MOD(T35+T34+T33,2)=1,1,0))</f>
        <v>.</v>
      </c>
      <c r="U37" s="1">
        <f t="shared" si="53"/>
        <v>1</v>
      </c>
      <c r="V37" s="1">
        <f t="shared" si="53"/>
        <v>1</v>
      </c>
      <c r="W37" s="1">
        <f t="shared" si="53"/>
        <v>0</v>
      </c>
      <c r="X37" s="1">
        <f t="shared" si="53"/>
        <v>1</v>
      </c>
      <c r="Y37" s="1"/>
      <c r="AA37">
        <f>AA34+AA35</f>
        <v>9789</v>
      </c>
    </row>
    <row r="38" spans="3:29" x14ac:dyDescent="0.25">
      <c r="C38" t="s">
        <v>50</v>
      </c>
      <c r="F38" s="9" t="str">
        <f>IF($F37=1,IF(F37=".",".",IF((COUNTIF(G37:X37,"1")&gt;0),1-F37,F37)),"")</f>
        <v/>
      </c>
      <c r="G38" s="9" t="str">
        <f t="shared" ref="G38" si="54">IF($F37=1,IF(G37=".",".",IF((COUNTIF(H37:Y37,"1")&gt;0),1-G37,G37)),"")</f>
        <v/>
      </c>
      <c r="H38" s="9" t="str">
        <f t="shared" ref="H38" si="55">IF($F37=1,IF(H37=".",".",IF((COUNTIF(I37:Z37,"1")&gt;0),1-H37,H37)),"")</f>
        <v/>
      </c>
      <c r="I38" s="9" t="str">
        <f t="shared" ref="I38" si="56">IF($F37=1,IF(I37=".",".",IF((COUNTIF(J37:AA37,"1")&gt;0),1-I37,I37)),"")</f>
        <v/>
      </c>
      <c r="J38" s="9" t="str">
        <f t="shared" ref="J38" si="57">IF($F37=1,IF(J37=".",".",IF((COUNTIF(K37:AB37,"1")&gt;0),1-J37,J37)),"")</f>
        <v/>
      </c>
      <c r="K38" s="9" t="str">
        <f t="shared" ref="K38" si="58">IF($F37=1,IF(K37=".",".",IF((COUNTIF(L37:AC37,"1")&gt;0),1-K37,K37)),"")</f>
        <v/>
      </c>
      <c r="L38" s="9" t="str">
        <f t="shared" ref="L38" si="59">IF($F37=1,IF(L37=".",".",IF((COUNTIF(M37:AD37,"1")&gt;0),1-L37,L37)),"")</f>
        <v/>
      </c>
      <c r="M38" s="9" t="str">
        <f t="shared" ref="M38" si="60">IF($F37=1,IF(M37=".",".",IF((COUNTIF(N37:AE37,"1")&gt;0),1-M37,M37)),"")</f>
        <v/>
      </c>
      <c r="N38" s="9" t="str">
        <f t="shared" ref="N38" si="61">IF($F37=1,IF(N37=".",".",IF((COUNTIF(O37:AF37,"1")&gt;0),1-N37,N37)),"")</f>
        <v/>
      </c>
      <c r="O38" s="9" t="str">
        <f t="shared" ref="O38" si="62">IF($F37=1,IF(O37=".",".",IF((COUNTIF(P37:AG37,"1")&gt;0),1-O37,O37)),"")</f>
        <v/>
      </c>
      <c r="P38" s="9" t="str">
        <f t="shared" ref="P38" si="63">IF($F37=1,IF(P37=".",".",IF((COUNTIF(Q37:AH37,"1")&gt;0),1-P37,P37)),"")</f>
        <v/>
      </c>
      <c r="Q38" s="9" t="str">
        <f t="shared" ref="Q38" si="64">IF($F37=1,IF(Q37=".",".",IF((COUNTIF(R37:AI37,"1")&gt;0),1-Q37,Q37)),"")</f>
        <v/>
      </c>
      <c r="R38" s="9" t="str">
        <f t="shared" ref="R38" si="65">IF($F37=1,IF(R37=".",".",IF((COUNTIF(S37:AJ37,"1")&gt;0),1-R37,R37)),"")</f>
        <v/>
      </c>
      <c r="S38" s="9" t="str">
        <f t="shared" ref="S38" si="66">IF($F37=1,IF(S37=".",".",IF((COUNTIF(T37:AK37,"1")&gt;0),1-S37,S37)),"")</f>
        <v/>
      </c>
      <c r="T38" s="9" t="str">
        <f t="shared" ref="T38" si="67">IF($F37=1,IF(T37=".",".",IF((COUNTIF(U37:AL37,"1")&gt;0),1-T37,T37)),"")</f>
        <v/>
      </c>
      <c r="U38" s="9" t="str">
        <f t="shared" ref="U38" si="68">IF($F37=1,IF(U37=".",".",IF((COUNTIF(V37:AM37,"1")&gt;0),1-U37,U37)),"")</f>
        <v/>
      </c>
      <c r="V38" s="9" t="str">
        <f t="shared" ref="V38" si="69">IF($F37=1,IF(V37=".",".",IF((COUNTIF(W37:AN37,"1")&gt;0),1-V37,V37)),"")</f>
        <v/>
      </c>
      <c r="W38" s="9" t="str">
        <f t="shared" ref="W38" si="70">IF($F37=1,IF(W37=".",".",IF((COUNTIF(X37:AO37,"1")&gt;0),1-W37,W37)),"")</f>
        <v/>
      </c>
      <c r="X38" s="9" t="str">
        <f t="shared" ref="X38" si="71">IF($F37=1,IF(X37=".",".",IF((COUNTIF(Y37:AP37,"1")&gt;0),1-X37,X37)),"")</f>
        <v/>
      </c>
    </row>
    <row r="39" spans="3:29" x14ac:dyDescent="0.25">
      <c r="F39" t="s">
        <v>43</v>
      </c>
      <c r="G39" s="3">
        <f>F33</f>
        <v>1</v>
      </c>
      <c r="H39" t="s">
        <v>44</v>
      </c>
      <c r="I39" s="3">
        <f>IF(MOD(SUM(F37:X37),2)=0,1,0)</f>
        <v>1</v>
      </c>
      <c r="J39" t="s">
        <v>45</v>
      </c>
      <c r="K39" s="3">
        <f>T33</f>
        <v>0</v>
      </c>
      <c r="L39" t="s">
        <v>46</v>
      </c>
      <c r="M39" s="3">
        <f>IF(Y36=0,1,0)</f>
        <v>0</v>
      </c>
      <c r="N39" t="s">
        <v>47</v>
      </c>
      <c r="O39" s="3">
        <f>F37</f>
        <v>0</v>
      </c>
      <c r="P39" t="s">
        <v>48</v>
      </c>
      <c r="Q39" s="3">
        <f>IF(F33&lt;&gt;E33,1,0)</f>
        <v>0</v>
      </c>
    </row>
    <row r="41" spans="3:29" x14ac:dyDescent="0.25">
      <c r="C41" t="s">
        <v>39</v>
      </c>
      <c r="E41">
        <f>IF(F43+F42+F41&gt;1,1,0)</f>
        <v>1</v>
      </c>
      <c r="F41" s="1">
        <f t="shared" ref="F41" si="72">IF(G42=".",G41,IF((G43+G42+G41&gt;1),1,0))</f>
        <v>1</v>
      </c>
      <c r="G41" s="1">
        <f t="shared" ref="G41" si="73">IF(H42=".",H41,IF((H43+H42+H41&gt;1),1,0))</f>
        <v>1</v>
      </c>
      <c r="H41" s="1">
        <f t="shared" ref="H41" si="74">IF(I42=".",I41,IF((I43+I42+I41&gt;1),1,0))</f>
        <v>1</v>
      </c>
      <c r="I41" s="1">
        <f t="shared" ref="I41" si="75">IF(J42=".",J41,IF((J43+J42+J41&gt;1),1,0))</f>
        <v>1</v>
      </c>
      <c r="J41" s="1">
        <f t="shared" ref="J41" si="76">IF(K42=".",K41,IF((K43+K42+K41&gt;1),1,0))</f>
        <v>1</v>
      </c>
      <c r="K41" s="1">
        <f t="shared" ref="K41" si="77">IF(L42=".",L41,IF((L43+L42+L41&gt;1),1,0))</f>
        <v>1</v>
      </c>
      <c r="L41" s="1">
        <f t="shared" ref="L41" si="78">IF(M42=".",M41,IF((M43+M42+M41&gt;1),1,0))</f>
        <v>1</v>
      </c>
      <c r="M41" s="1">
        <f t="shared" ref="M41" si="79">IF(N42=".",N41,IF((N43+N42+N41&gt;1),1,0))</f>
        <v>1</v>
      </c>
      <c r="N41" s="1">
        <f t="shared" ref="N41" si="80">IF(O42=".",O41,IF((O43+O42+O41&gt;1),1,0))</f>
        <v>1</v>
      </c>
      <c r="O41" s="1">
        <f t="shared" ref="O41" si="81">IF(P42=".",P41,IF((P43+P42+P41&gt;1),1,0))</f>
        <v>1</v>
      </c>
      <c r="P41" s="1">
        <f t="shared" ref="P41" si="82">IF(Q42=".",Q41,IF((Q43+Q42+Q41&gt;1),1,0))</f>
        <v>1</v>
      </c>
      <c r="Q41" s="1">
        <f t="shared" ref="Q41" si="83">IF(R42=".",R41,IF((R43+R42+R41&gt;1),1,0))</f>
        <v>1</v>
      </c>
      <c r="R41" s="1">
        <f t="shared" ref="R41" si="84">IF(S42=".",S41,IF((S43+S42+S41&gt;1),1,0))</f>
        <v>0</v>
      </c>
      <c r="S41" s="1">
        <f>IF(T42=".",T41,IF((T43+T42+T41&gt;1),1,0))</f>
        <v>0</v>
      </c>
      <c r="T41" s="1">
        <f t="shared" ref="T41" si="85">IF(U42=".",U41,IF((U43+U42+U41&gt;1),1,0))</f>
        <v>0</v>
      </c>
      <c r="U41" s="1">
        <f t="shared" ref="U41" si="86">IF(V42=".",V41,IF((V43+V42+V41&gt;1),1,0))</f>
        <v>1</v>
      </c>
      <c r="V41" s="1">
        <f t="shared" ref="V41" si="87">IF(W42=".",W41,IF((W43+W42+W41&gt;1),1,0))</f>
        <v>1</v>
      </c>
      <c r="W41" s="1">
        <f t="shared" ref="W41" si="88">IF(X42=".",X41,IF((X43+X42+X41&gt;1),1,0))</f>
        <v>0</v>
      </c>
      <c r="X41" s="1">
        <f t="shared" ref="X41" si="89">IF(Y42=".",Y41,IF((Y43+Y42+Y41&gt;1),1,0))</f>
        <v>0</v>
      </c>
    </row>
    <row r="42" spans="3:29" x14ac:dyDescent="0.25">
      <c r="C42" t="s">
        <v>55</v>
      </c>
      <c r="F42" s="1" t="str">
        <f>F10</f>
        <v>1</v>
      </c>
      <c r="G42" s="1" t="str">
        <f t="shared" ref="G42:X42" si="90">G10</f>
        <v>1</v>
      </c>
      <c r="H42" s="1" t="str">
        <f t="shared" si="90"/>
        <v>1</v>
      </c>
      <c r="I42" s="1" t="str">
        <f t="shared" si="90"/>
        <v>0</v>
      </c>
      <c r="J42" s="1" t="str">
        <f t="shared" si="90"/>
        <v>.</v>
      </c>
      <c r="K42" s="1" t="str">
        <f t="shared" si="90"/>
        <v>0</v>
      </c>
      <c r="L42" s="1" t="str">
        <f t="shared" si="90"/>
        <v>0</v>
      </c>
      <c r="M42" s="1" t="str">
        <f t="shared" si="90"/>
        <v>1</v>
      </c>
      <c r="N42" s="1" t="str">
        <f t="shared" si="90"/>
        <v>1</v>
      </c>
      <c r="O42" s="1" t="str">
        <f t="shared" si="90"/>
        <v>.</v>
      </c>
      <c r="P42" s="1" t="str">
        <f t="shared" si="90"/>
        <v>0</v>
      </c>
      <c r="Q42" s="1" t="str">
        <f t="shared" si="90"/>
        <v>0</v>
      </c>
      <c r="R42" s="1" t="str">
        <f t="shared" si="90"/>
        <v>1</v>
      </c>
      <c r="S42" s="1" t="str">
        <f t="shared" si="90"/>
        <v>0</v>
      </c>
      <c r="T42" s="1" t="str">
        <f t="shared" si="90"/>
        <v>.</v>
      </c>
      <c r="U42" s="1" t="str">
        <f t="shared" si="90"/>
        <v>0</v>
      </c>
      <c r="V42" s="1" t="str">
        <f t="shared" si="90"/>
        <v>0</v>
      </c>
      <c r="W42" s="1" t="str">
        <f t="shared" si="90"/>
        <v>1</v>
      </c>
      <c r="X42" s="1" t="str">
        <f t="shared" si="90"/>
        <v>1</v>
      </c>
      <c r="AA42">
        <f>C10</f>
        <v>-7389</v>
      </c>
      <c r="AC42" t="str">
        <f>IF(G47=1,IF(Q47=1,"Произошел перенос из старшего разряда и переполнение","Произошёл перенос из старшего разряда"),IF(Q47=1,"Произошло переполнение","все нормально"))</f>
        <v>Произошёл перенос из старшего разряда</v>
      </c>
    </row>
    <row r="43" spans="3:29" x14ac:dyDescent="0.25">
      <c r="C43" s="5" t="s">
        <v>56</v>
      </c>
      <c r="F43" s="1" t="str">
        <f>F11</f>
        <v>1</v>
      </c>
      <c r="G43" s="1" t="str">
        <f t="shared" ref="G43:X43" si="91">G11</f>
        <v>0</v>
      </c>
      <c r="H43" s="1" t="str">
        <f t="shared" si="91"/>
        <v>1</v>
      </c>
      <c r="I43" s="1" t="str">
        <f t="shared" si="91"/>
        <v>1</v>
      </c>
      <c r="J43" s="1" t="str">
        <f t="shared" si="91"/>
        <v>.</v>
      </c>
      <c r="K43" s="1" t="str">
        <f t="shared" si="91"/>
        <v>1</v>
      </c>
      <c r="L43" s="1" t="str">
        <f t="shared" si="91"/>
        <v>1</v>
      </c>
      <c r="M43" s="1" t="str">
        <f t="shared" si="91"/>
        <v>0</v>
      </c>
      <c r="N43" s="1" t="str">
        <f t="shared" si="91"/>
        <v>0</v>
      </c>
      <c r="O43" s="1" t="str">
        <f t="shared" si="91"/>
        <v>.</v>
      </c>
      <c r="P43" s="1" t="str">
        <f t="shared" si="91"/>
        <v>1</v>
      </c>
      <c r="Q43" s="1" t="str">
        <f t="shared" si="91"/>
        <v>1</v>
      </c>
      <c r="R43" s="1" t="str">
        <f t="shared" si="91"/>
        <v>1</v>
      </c>
      <c r="S43" s="1" t="str">
        <f t="shared" si="91"/>
        <v>0</v>
      </c>
      <c r="T43" s="1" t="str">
        <f t="shared" si="91"/>
        <v>.</v>
      </c>
      <c r="U43" s="1" t="str">
        <f t="shared" si="91"/>
        <v>0</v>
      </c>
      <c r="V43" s="1" t="str">
        <f t="shared" si="91"/>
        <v>1</v>
      </c>
      <c r="W43" s="1" t="str">
        <f t="shared" si="91"/>
        <v>1</v>
      </c>
      <c r="X43" s="1" t="str">
        <f t="shared" si="91"/>
        <v>0</v>
      </c>
      <c r="Z43" s="8" t="s">
        <v>49</v>
      </c>
      <c r="AA43">
        <f>C11</f>
        <v>-17178</v>
      </c>
    </row>
    <row r="44" spans="3:29" x14ac:dyDescent="0.25">
      <c r="F44" s="7" t="s">
        <v>42</v>
      </c>
      <c r="G44" s="7" t="s">
        <v>42</v>
      </c>
      <c r="H44" s="7" t="s">
        <v>42</v>
      </c>
      <c r="I44" s="7" t="s">
        <v>42</v>
      </c>
      <c r="J44" s="7" t="s">
        <v>42</v>
      </c>
      <c r="K44" s="7" t="s">
        <v>42</v>
      </c>
      <c r="L44" s="7" t="s">
        <v>42</v>
      </c>
      <c r="M44" s="7" t="s">
        <v>42</v>
      </c>
      <c r="N44" s="7" t="s">
        <v>42</v>
      </c>
      <c r="O44" s="7" t="s">
        <v>42</v>
      </c>
      <c r="P44" s="7" t="s">
        <v>42</v>
      </c>
      <c r="Q44" s="7" t="s">
        <v>42</v>
      </c>
      <c r="R44" s="7" t="s">
        <v>42</v>
      </c>
      <c r="S44" s="7" t="s">
        <v>42</v>
      </c>
      <c r="T44" s="7" t="s">
        <v>42</v>
      </c>
      <c r="U44" s="7" t="s">
        <v>42</v>
      </c>
      <c r="V44" s="7" t="s">
        <v>42</v>
      </c>
      <c r="W44" s="7" t="s">
        <v>42</v>
      </c>
      <c r="X44" s="7" t="s">
        <v>42</v>
      </c>
      <c r="Y44">
        <f>IF(F45=0,_xlfn.DECIMAL(F45&amp;G45&amp;H45&amp;I45&amp;K45&amp;L45&amp;M45&amp;N45&amp;P45&amp;Q45&amp;R45&amp;S45&amp;U45&amp;V45&amp;W45&amp;X45,2),-_xlfn.DECIMAL(G46&amp;H46&amp;I46&amp;K46&amp;L46&amp;M46&amp;N46&amp;P46&amp;Q46&amp;R46&amp;S46&amp;U46&amp;V46&amp;W46&amp;X46,2))</f>
        <v>-24567</v>
      </c>
      <c r="AA44" s="7" t="s">
        <v>53</v>
      </c>
    </row>
    <row r="45" spans="3:29" x14ac:dyDescent="0.25">
      <c r="F45" s="1">
        <f t="shared" ref="F45:R45" si="92">IF(F43=".",".",IF(MOD(F43+F42+F41,2)=1,1,0))</f>
        <v>1</v>
      </c>
      <c r="G45" s="1">
        <f t="shared" si="92"/>
        <v>0</v>
      </c>
      <c r="H45" s="1">
        <f t="shared" si="92"/>
        <v>1</v>
      </c>
      <c r="I45" s="1">
        <f t="shared" si="92"/>
        <v>0</v>
      </c>
      <c r="J45" s="1" t="str">
        <f t="shared" si="92"/>
        <v>.</v>
      </c>
      <c r="K45" s="1">
        <f t="shared" si="92"/>
        <v>0</v>
      </c>
      <c r="L45" s="1">
        <f t="shared" si="92"/>
        <v>0</v>
      </c>
      <c r="M45" s="1">
        <f t="shared" si="92"/>
        <v>0</v>
      </c>
      <c r="N45" s="1">
        <f t="shared" si="92"/>
        <v>0</v>
      </c>
      <c r="O45" s="1" t="str">
        <f t="shared" si="92"/>
        <v>.</v>
      </c>
      <c r="P45" s="1">
        <f t="shared" si="92"/>
        <v>0</v>
      </c>
      <c r="Q45" s="1">
        <f t="shared" si="92"/>
        <v>0</v>
      </c>
      <c r="R45" s="1">
        <f t="shared" si="92"/>
        <v>0</v>
      </c>
      <c r="S45" s="1">
        <f>IF(S43=".",".",IF(MOD(S43+S42+S41,2)=1,1,0))</f>
        <v>0</v>
      </c>
      <c r="T45" s="1" t="str">
        <f t="shared" ref="T45:X45" si="93">IF(T43=".",".",IF(MOD(T43+T42+T41,2)=1,1,0))</f>
        <v>.</v>
      </c>
      <c r="U45" s="1">
        <f t="shared" si="93"/>
        <v>1</v>
      </c>
      <c r="V45" s="1">
        <f t="shared" si="93"/>
        <v>0</v>
      </c>
      <c r="W45" s="1">
        <f t="shared" si="93"/>
        <v>0</v>
      </c>
      <c r="X45" s="1">
        <f t="shared" si="93"/>
        <v>1</v>
      </c>
      <c r="Y45" s="1"/>
      <c r="AA45">
        <f>AA42+AA43</f>
        <v>-24567</v>
      </c>
    </row>
    <row r="46" spans="3:29" x14ac:dyDescent="0.25">
      <c r="C46" t="s">
        <v>50</v>
      </c>
      <c r="F46" s="9">
        <f>IF($F45=1,IF(F45=".",".",IF((COUNTIF(G45:X45,"1")&gt;0),1-F45,F45)),"")</f>
        <v>0</v>
      </c>
      <c r="G46" s="9">
        <f t="shared" ref="G46" si="94">IF($F45=1,IF(G45=".",".",IF((COUNTIF(H45:Y45,"1")&gt;0),1-G45,G45)),"")</f>
        <v>1</v>
      </c>
      <c r="H46" s="9">
        <f t="shared" ref="H46" si="95">IF($F45=1,IF(H45=".",".",IF((COUNTIF(I45:Z45,"1")&gt;0),1-H45,H45)),"")</f>
        <v>0</v>
      </c>
      <c r="I46" s="9">
        <f t="shared" ref="I46" si="96">IF($F45=1,IF(I45=".",".",IF((COUNTIF(J45:AA45,"1")&gt;0),1-I45,I45)),"")</f>
        <v>1</v>
      </c>
      <c r="J46" s="9" t="str">
        <f t="shared" ref="J46" si="97">IF($F45=1,IF(J45=".",".",IF((COUNTIF(K45:AB45,"1")&gt;0),1-J45,J45)),"")</f>
        <v>.</v>
      </c>
      <c r="K46" s="9">
        <f t="shared" ref="K46" si="98">IF($F45=1,IF(K45=".",".",IF((COUNTIF(L45:AC45,"1")&gt;0),1-K45,K45)),"")</f>
        <v>1</v>
      </c>
      <c r="L46" s="9">
        <f t="shared" ref="L46" si="99">IF($F45=1,IF(L45=".",".",IF((COUNTIF(M45:AD45,"1")&gt;0),1-L45,L45)),"")</f>
        <v>1</v>
      </c>
      <c r="M46" s="9">
        <f t="shared" ref="M46" si="100">IF($F45=1,IF(M45=".",".",IF((COUNTIF(N45:AE45,"1")&gt;0),1-M45,M45)),"")</f>
        <v>1</v>
      </c>
      <c r="N46" s="9">
        <f t="shared" ref="N46" si="101">IF($F45=1,IF(N45=".",".",IF((COUNTIF(O45:AF45,"1")&gt;0),1-N45,N45)),"")</f>
        <v>1</v>
      </c>
      <c r="O46" s="9" t="str">
        <f t="shared" ref="O46" si="102">IF($F45=1,IF(O45=".",".",IF((COUNTIF(P45:AG45,"1")&gt;0),1-O45,O45)),"")</f>
        <v>.</v>
      </c>
      <c r="P46" s="9">
        <f t="shared" ref="P46" si="103">IF($F45=1,IF(P45=".",".",IF((COUNTIF(Q45:AH45,"1")&gt;0),1-P45,P45)),"")</f>
        <v>1</v>
      </c>
      <c r="Q46" s="9">
        <f t="shared" ref="Q46" si="104">IF($F45=1,IF(Q45=".",".",IF((COUNTIF(R45:AI45,"1")&gt;0),1-Q45,Q45)),"")</f>
        <v>1</v>
      </c>
      <c r="R46" s="9">
        <f t="shared" ref="R46" si="105">IF($F45=1,IF(R45=".",".",IF((COUNTIF(S45:AJ45,"1")&gt;0),1-R45,R45)),"")</f>
        <v>1</v>
      </c>
      <c r="S46" s="9">
        <f t="shared" ref="S46" si="106">IF($F45=1,IF(S45=".",".",IF((COUNTIF(T45:AK45,"1")&gt;0),1-S45,S45)),"")</f>
        <v>1</v>
      </c>
      <c r="T46" s="9" t="str">
        <f t="shared" ref="T46" si="107">IF($F45=1,IF(T45=".",".",IF((COUNTIF(U45:AL45,"1")&gt;0),1-T45,T45)),"")</f>
        <v>.</v>
      </c>
      <c r="U46" s="9">
        <f t="shared" ref="U46" si="108">IF($F45=1,IF(U45=".",".",IF((COUNTIF(V45:AM45,"1")&gt;0),1-U45,U45)),"")</f>
        <v>0</v>
      </c>
      <c r="V46" s="9">
        <f t="shared" ref="V46" si="109">IF($F45=1,IF(V45=".",".",IF((COUNTIF(W45:AN45,"1")&gt;0),1-V45,V45)),"")</f>
        <v>1</v>
      </c>
      <c r="W46" s="9">
        <f t="shared" ref="W46" si="110">IF($F45=1,IF(W45=".",".",IF((COUNTIF(X45:AO45,"1")&gt;0),1-W45,W45)),"")</f>
        <v>1</v>
      </c>
      <c r="X46" s="9">
        <f t="shared" ref="X46" si="111">IF($F45=1,IF(X45=".",".",IF((COUNTIF(Y45:AP45,"1")&gt;0),1-X45,X45)),"")</f>
        <v>1</v>
      </c>
    </row>
    <row r="47" spans="3:29" x14ac:dyDescent="0.25">
      <c r="F47" t="s">
        <v>43</v>
      </c>
      <c r="G47" s="3">
        <f>F41</f>
        <v>1</v>
      </c>
      <c r="H47" t="s">
        <v>44</v>
      </c>
      <c r="I47" s="3">
        <f>IF(MOD(SUM(F45:X45),2)=0,1,0)</f>
        <v>1</v>
      </c>
      <c r="J47" t="s">
        <v>45</v>
      </c>
      <c r="K47" s="3">
        <f>T41</f>
        <v>0</v>
      </c>
      <c r="L47" t="s">
        <v>46</v>
      </c>
      <c r="M47" s="3">
        <f>IF(Y44=0,1,0)</f>
        <v>0</v>
      </c>
      <c r="N47" t="s">
        <v>47</v>
      </c>
      <c r="O47" s="3">
        <f>F45</f>
        <v>1</v>
      </c>
      <c r="P47" t="s">
        <v>48</v>
      </c>
      <c r="Q47" s="3">
        <f>IF(F41&lt;&gt;E41,1,0)</f>
        <v>0</v>
      </c>
    </row>
    <row r="49" spans="3:29" x14ac:dyDescent="0.25">
      <c r="C49" t="s">
        <v>39</v>
      </c>
      <c r="E49">
        <f>IF(F51+F50+F49&gt;1,1,0)</f>
        <v>1</v>
      </c>
      <c r="F49" s="1">
        <f t="shared" ref="F49" si="112">IF(G50=".",G49,IF((G51+G50+G49&gt;1),1,0))</f>
        <v>0</v>
      </c>
      <c r="G49" s="1">
        <f t="shared" ref="G49" si="113">IF(H50=".",H49,IF((H51+H50+H49&gt;1),1,0))</f>
        <v>1</v>
      </c>
      <c r="H49" s="1">
        <f t="shared" ref="H49" si="114">IF(I50=".",I49,IF((I51+I50+I49&gt;1),1,0))</f>
        <v>0</v>
      </c>
      <c r="I49" s="1">
        <f t="shared" ref="I49" si="115">IF(J50=".",J49,IF((J51+J50+J49&gt;1),1,0))</f>
        <v>0</v>
      </c>
      <c r="J49" s="1">
        <f t="shared" ref="J49" si="116">IF(K50=".",K49,IF((K51+K50+K49&gt;1),1,0))</f>
        <v>0</v>
      </c>
      <c r="K49" s="1">
        <f t="shared" ref="K49" si="117">IF(L50=".",L49,IF((L51+L50+L49&gt;1),1,0))</f>
        <v>0</v>
      </c>
      <c r="L49" s="1">
        <f t="shared" ref="L49" si="118">IF(M50=".",M49,IF((M51+M50+M49&gt;1),1,0))</f>
        <v>0</v>
      </c>
      <c r="M49" s="1">
        <f t="shared" ref="M49" si="119">IF(N50=".",N49,IF((N51+N50+N49&gt;1),1,0))</f>
        <v>0</v>
      </c>
      <c r="N49" s="1">
        <f t="shared" ref="N49" si="120">IF(O50=".",O49,IF((O51+O50+O49&gt;1),1,0))</f>
        <v>0</v>
      </c>
      <c r="O49" s="1">
        <f t="shared" ref="O49" si="121">IF(P50=".",P49,IF((P51+P50+P49&gt;1),1,0))</f>
        <v>0</v>
      </c>
      <c r="P49" s="1">
        <f t="shared" ref="P49" si="122">IF(Q50=".",Q49,IF((Q51+Q50+Q49&gt;1),1,0))</f>
        <v>0</v>
      </c>
      <c r="Q49" s="1">
        <f t="shared" ref="Q49" si="123">IF(R50=".",R49,IF((R51+R50+R49&gt;1),1,0))</f>
        <v>0</v>
      </c>
      <c r="R49" s="1">
        <f t="shared" ref="R49" si="124">IF(S50=".",S49,IF((S51+S50+S49&gt;1),1,0))</f>
        <v>0</v>
      </c>
      <c r="S49" s="1">
        <f>IF(T50=".",T49,IF((T51+T50+T49&gt;1),1,0))</f>
        <v>0</v>
      </c>
      <c r="T49" s="1">
        <f t="shared" ref="T49" si="125">IF(U50=".",U49,IF((U51+U50+U49&gt;1),1,0))</f>
        <v>0</v>
      </c>
      <c r="U49" s="1">
        <f t="shared" ref="U49" si="126">IF(V50=".",V49,IF((V51+V50+V49&gt;1),1,0))</f>
        <v>0</v>
      </c>
      <c r="V49" s="1">
        <f t="shared" ref="V49" si="127">IF(W50=".",W49,IF((W51+W50+W49&gt;1),1,0))</f>
        <v>0</v>
      </c>
      <c r="W49" s="1">
        <f t="shared" ref="W49" si="128">IF(X50=".",X49,IF((X51+X50+X49&gt;1),1,0))</f>
        <v>0</v>
      </c>
      <c r="X49" s="1">
        <f t="shared" ref="X49" si="129">IF(Y50=".",Y49,IF((Y51+Y50+Y49&gt;1),1,0))</f>
        <v>0</v>
      </c>
    </row>
    <row r="50" spans="3:29" x14ac:dyDescent="0.25">
      <c r="C50" t="s">
        <v>57</v>
      </c>
      <c r="F50" s="1" t="str">
        <f>F11</f>
        <v>1</v>
      </c>
      <c r="G50" s="1" t="str">
        <f t="shared" ref="G50:X50" si="130">G11</f>
        <v>0</v>
      </c>
      <c r="H50" s="1" t="str">
        <f t="shared" si="130"/>
        <v>1</v>
      </c>
      <c r="I50" s="1" t="str">
        <f t="shared" si="130"/>
        <v>1</v>
      </c>
      <c r="J50" s="1" t="str">
        <f t="shared" si="130"/>
        <v>.</v>
      </c>
      <c r="K50" s="1" t="str">
        <f t="shared" si="130"/>
        <v>1</v>
      </c>
      <c r="L50" s="1" t="str">
        <f t="shared" si="130"/>
        <v>1</v>
      </c>
      <c r="M50" s="1" t="str">
        <f t="shared" si="130"/>
        <v>0</v>
      </c>
      <c r="N50" s="1" t="str">
        <f t="shared" si="130"/>
        <v>0</v>
      </c>
      <c r="O50" s="1" t="str">
        <f t="shared" si="130"/>
        <v>.</v>
      </c>
      <c r="P50" s="1" t="str">
        <f t="shared" si="130"/>
        <v>1</v>
      </c>
      <c r="Q50" s="1" t="str">
        <f t="shared" si="130"/>
        <v>1</v>
      </c>
      <c r="R50" s="1" t="str">
        <f t="shared" si="130"/>
        <v>1</v>
      </c>
      <c r="S50" s="1" t="str">
        <f t="shared" si="130"/>
        <v>0</v>
      </c>
      <c r="T50" s="1" t="str">
        <f t="shared" si="130"/>
        <v>.</v>
      </c>
      <c r="U50" s="1" t="str">
        <f t="shared" si="130"/>
        <v>0</v>
      </c>
      <c r="V50" s="1" t="str">
        <f t="shared" si="130"/>
        <v>1</v>
      </c>
      <c r="W50" s="1" t="str">
        <f t="shared" si="130"/>
        <v>1</v>
      </c>
      <c r="X50" s="1" t="str">
        <f t="shared" si="130"/>
        <v>0</v>
      </c>
      <c r="AA50">
        <f>C11</f>
        <v>-17178</v>
      </c>
      <c r="AC50" t="str">
        <f>IF(G55=1,IF(Q55=1,"Произошел перенос из старшего разряда и переполнение","Произошёл перенос из старшего разряда"),IF(Q55=1,"Произошло переполнение","все нормально"))</f>
        <v>Произошло переполнение</v>
      </c>
    </row>
    <row r="51" spans="3:29" x14ac:dyDescent="0.25">
      <c r="C51" s="5" t="s">
        <v>58</v>
      </c>
      <c r="F51" s="1" t="str">
        <f>F12</f>
        <v>1</v>
      </c>
      <c r="G51" s="1" t="str">
        <f t="shared" ref="G51:X51" si="131">G12</f>
        <v>0</v>
      </c>
      <c r="H51" s="1" t="str">
        <f t="shared" si="131"/>
        <v>1</v>
      </c>
      <c r="I51" s="1" t="str">
        <f t="shared" si="131"/>
        <v>0</v>
      </c>
      <c r="J51" s="1" t="str">
        <f t="shared" si="131"/>
        <v>.</v>
      </c>
      <c r="K51" s="1" t="str">
        <f t="shared" si="131"/>
        <v>0</v>
      </c>
      <c r="L51" s="1" t="str">
        <f t="shared" si="131"/>
        <v>0</v>
      </c>
      <c r="M51" s="1" t="str">
        <f t="shared" si="131"/>
        <v>0</v>
      </c>
      <c r="N51" s="1" t="str">
        <f t="shared" si="131"/>
        <v>0</v>
      </c>
      <c r="O51" s="1" t="str">
        <f t="shared" si="131"/>
        <v>.</v>
      </c>
      <c r="P51" s="1" t="str">
        <f t="shared" si="131"/>
        <v>0</v>
      </c>
      <c r="Q51" s="1" t="str">
        <f t="shared" si="131"/>
        <v>0</v>
      </c>
      <c r="R51" s="1" t="str">
        <f t="shared" si="131"/>
        <v>0</v>
      </c>
      <c r="S51" s="1" t="str">
        <f t="shared" si="131"/>
        <v>0</v>
      </c>
      <c r="T51" s="1" t="str">
        <f t="shared" si="131"/>
        <v>.</v>
      </c>
      <c r="U51" s="1" t="str">
        <f t="shared" si="131"/>
        <v>1</v>
      </c>
      <c r="V51" s="1" t="str">
        <f t="shared" si="131"/>
        <v>0</v>
      </c>
      <c r="W51" s="1" t="str">
        <f t="shared" si="131"/>
        <v>0</v>
      </c>
      <c r="X51" s="1" t="str">
        <f t="shared" si="131"/>
        <v>1</v>
      </c>
      <c r="Z51" s="8" t="s">
        <v>49</v>
      </c>
      <c r="AA51">
        <f>C12</f>
        <v>-24567</v>
      </c>
    </row>
    <row r="52" spans="3:29" x14ac:dyDescent="0.25">
      <c r="F52" s="7" t="s">
        <v>42</v>
      </c>
      <c r="G52" s="7" t="s">
        <v>42</v>
      </c>
      <c r="H52" s="7" t="s">
        <v>42</v>
      </c>
      <c r="I52" s="7" t="s">
        <v>42</v>
      </c>
      <c r="J52" s="7" t="s">
        <v>42</v>
      </c>
      <c r="K52" s="7" t="s">
        <v>42</v>
      </c>
      <c r="L52" s="7" t="s">
        <v>42</v>
      </c>
      <c r="M52" s="7" t="s">
        <v>42</v>
      </c>
      <c r="N52" s="7" t="s">
        <v>42</v>
      </c>
      <c r="O52" s="7" t="s">
        <v>42</v>
      </c>
      <c r="P52" s="7" t="s">
        <v>42</v>
      </c>
      <c r="Q52" s="7" t="s">
        <v>42</v>
      </c>
      <c r="R52" s="7" t="s">
        <v>42</v>
      </c>
      <c r="S52" s="7" t="s">
        <v>42</v>
      </c>
      <c r="T52" s="7" t="s">
        <v>42</v>
      </c>
      <c r="U52" s="7" t="s">
        <v>42</v>
      </c>
      <c r="V52" s="7" t="s">
        <v>42</v>
      </c>
      <c r="W52" s="7" t="s">
        <v>42</v>
      </c>
      <c r="X52" s="7" t="s">
        <v>42</v>
      </c>
      <c r="Y52">
        <f>IF(F53=0,_xlfn.DECIMAL(F53&amp;G53&amp;H53&amp;I53&amp;K53&amp;L53&amp;M53&amp;N53&amp;P53&amp;Q53&amp;R53&amp;S53&amp;U53&amp;V53&amp;W53&amp;X53,2),-_xlfn.DECIMAL(G54&amp;H54&amp;I54&amp;K54&amp;L54&amp;M54&amp;N54&amp;P54&amp;Q54&amp;R54&amp;S54&amp;U54&amp;V54&amp;W54&amp;X54,2))</f>
        <v>23791</v>
      </c>
      <c r="AA52" s="7" t="s">
        <v>53</v>
      </c>
    </row>
    <row r="53" spans="3:29" x14ac:dyDescent="0.25">
      <c r="F53" s="1">
        <f t="shared" ref="F53:R53" si="132">IF(F51=".",".",IF(MOD(F51+F50+F49,2)=1,1,0))</f>
        <v>0</v>
      </c>
      <c r="G53" s="1">
        <f t="shared" si="132"/>
        <v>1</v>
      </c>
      <c r="H53" s="1">
        <f t="shared" si="132"/>
        <v>0</v>
      </c>
      <c r="I53" s="1">
        <f t="shared" si="132"/>
        <v>1</v>
      </c>
      <c r="J53" s="1" t="str">
        <f t="shared" si="132"/>
        <v>.</v>
      </c>
      <c r="K53" s="1">
        <f t="shared" si="132"/>
        <v>1</v>
      </c>
      <c r="L53" s="1">
        <f t="shared" si="132"/>
        <v>1</v>
      </c>
      <c r="M53" s="1">
        <f t="shared" si="132"/>
        <v>0</v>
      </c>
      <c r="N53" s="1">
        <f t="shared" si="132"/>
        <v>0</v>
      </c>
      <c r="O53" s="1" t="str">
        <f t="shared" si="132"/>
        <v>.</v>
      </c>
      <c r="P53" s="1">
        <f t="shared" si="132"/>
        <v>1</v>
      </c>
      <c r="Q53" s="1">
        <f t="shared" si="132"/>
        <v>1</v>
      </c>
      <c r="R53" s="1">
        <f t="shared" si="132"/>
        <v>1</v>
      </c>
      <c r="S53" s="1">
        <f>IF(S51=".",".",IF(MOD(S51+S50+S49,2)=1,1,0))</f>
        <v>0</v>
      </c>
      <c r="T53" s="1" t="str">
        <f t="shared" ref="T53:X53" si="133">IF(T51=".",".",IF(MOD(T51+T50+T49,2)=1,1,0))</f>
        <v>.</v>
      </c>
      <c r="U53" s="1">
        <f t="shared" si="133"/>
        <v>1</v>
      </c>
      <c r="V53" s="1">
        <f t="shared" si="133"/>
        <v>1</v>
      </c>
      <c r="W53" s="1">
        <f t="shared" si="133"/>
        <v>1</v>
      </c>
      <c r="X53" s="1">
        <f t="shared" si="133"/>
        <v>1</v>
      </c>
      <c r="Y53" s="1"/>
      <c r="AA53">
        <f>AA50+AA51</f>
        <v>-41745</v>
      </c>
    </row>
    <row r="54" spans="3:29" x14ac:dyDescent="0.25">
      <c r="C54" t="s">
        <v>50</v>
      </c>
      <c r="F54" s="9" t="str">
        <f>IF($F53=1,IF(F53=".",".",IF((COUNTIF(G53:X53,"1")&gt;0),1-F53,F53)),"")</f>
        <v/>
      </c>
      <c r="G54" s="9" t="str">
        <f t="shared" ref="G54" si="134">IF($F53=1,IF(G53=".",".",IF((COUNTIF(H53:Y53,"1")&gt;0),1-G53,G53)),"")</f>
        <v/>
      </c>
      <c r="H54" s="9" t="str">
        <f t="shared" ref="H54" si="135">IF($F53=1,IF(H53=".",".",IF((COUNTIF(I53:Z53,"1")&gt;0),1-H53,H53)),"")</f>
        <v/>
      </c>
      <c r="I54" s="9" t="str">
        <f t="shared" ref="I54" si="136">IF($F53=1,IF(I53=".",".",IF((COUNTIF(J53:AA53,"1")&gt;0),1-I53,I53)),"")</f>
        <v/>
      </c>
      <c r="J54" s="9" t="str">
        <f t="shared" ref="J54" si="137">IF($F53=1,IF(J53=".",".",IF((COUNTIF(K53:AB53,"1")&gt;0),1-J53,J53)),"")</f>
        <v/>
      </c>
      <c r="K54" s="9" t="str">
        <f t="shared" ref="K54" si="138">IF($F53=1,IF(K53=".",".",IF((COUNTIF(L53:AC53,"1")&gt;0),1-K53,K53)),"")</f>
        <v/>
      </c>
      <c r="L54" s="9" t="str">
        <f t="shared" ref="L54" si="139">IF($F53=1,IF(L53=".",".",IF((COUNTIF(M53:AD53,"1")&gt;0),1-L53,L53)),"")</f>
        <v/>
      </c>
      <c r="M54" s="9" t="str">
        <f t="shared" ref="M54" si="140">IF($F53=1,IF(M53=".",".",IF((COUNTIF(N53:AE53,"1")&gt;0),1-M53,M53)),"")</f>
        <v/>
      </c>
      <c r="N54" s="9" t="str">
        <f t="shared" ref="N54" si="141">IF($F53=1,IF(N53=".",".",IF((COUNTIF(O53:AF53,"1")&gt;0),1-N53,N53)),"")</f>
        <v/>
      </c>
      <c r="O54" s="9" t="str">
        <f t="shared" ref="O54" si="142">IF($F53=1,IF(O53=".",".",IF((COUNTIF(P53:AG53,"1")&gt;0),1-O53,O53)),"")</f>
        <v/>
      </c>
      <c r="P54" s="9" t="str">
        <f t="shared" ref="P54" si="143">IF($F53=1,IF(P53=".",".",IF((COUNTIF(Q53:AH53,"1")&gt;0),1-P53,P53)),"")</f>
        <v/>
      </c>
      <c r="Q54" s="9" t="str">
        <f t="shared" ref="Q54" si="144">IF($F53=1,IF(Q53=".",".",IF((COUNTIF(R53:AI53,"1")&gt;0),1-Q53,Q53)),"")</f>
        <v/>
      </c>
      <c r="R54" s="9" t="str">
        <f t="shared" ref="R54" si="145">IF($F53=1,IF(R53=".",".",IF((COUNTIF(S53:AJ53,"1")&gt;0),1-R53,R53)),"")</f>
        <v/>
      </c>
      <c r="S54" s="9" t="str">
        <f t="shared" ref="S54" si="146">IF($F53=1,IF(S53=".",".",IF((COUNTIF(T53:AK53,"1")&gt;0),1-S53,S53)),"")</f>
        <v/>
      </c>
      <c r="T54" s="9" t="str">
        <f t="shared" ref="T54" si="147">IF($F53=1,IF(T53=".",".",IF((COUNTIF(U53:AL53,"1")&gt;0),1-T53,T53)),"")</f>
        <v/>
      </c>
      <c r="U54" s="9" t="str">
        <f t="shared" ref="U54" si="148">IF($F53=1,IF(U53=".",".",IF((COUNTIF(V53:AM53,"1")&gt;0),1-U53,U53)),"")</f>
        <v/>
      </c>
      <c r="V54" s="9" t="str">
        <f t="shared" ref="V54" si="149">IF($F53=1,IF(V53=".",".",IF((COUNTIF(W53:AN53,"1")&gt;0),1-V53,V53)),"")</f>
        <v/>
      </c>
      <c r="W54" s="9" t="str">
        <f t="shared" ref="W54" si="150">IF($F53=1,IF(W53=".",".",IF((COUNTIF(X53:AO53,"1")&gt;0),1-W53,W53)),"")</f>
        <v/>
      </c>
      <c r="X54" s="9" t="str">
        <f t="shared" ref="X54" si="151">IF($F53=1,IF(X53=".",".",IF((COUNTIF(Y53:AP53,"1")&gt;0),1-X53,X53)),"")</f>
        <v/>
      </c>
    </row>
    <row r="55" spans="3:29" x14ac:dyDescent="0.25">
      <c r="F55" t="s">
        <v>43</v>
      </c>
      <c r="G55" s="3">
        <f>F49</f>
        <v>0</v>
      </c>
      <c r="H55" t="s">
        <v>44</v>
      </c>
      <c r="I55" s="3">
        <f>IF(MOD(SUM(F53:X53),2)=0,1,0)</f>
        <v>0</v>
      </c>
      <c r="J55" t="s">
        <v>45</v>
      </c>
      <c r="K55" s="3">
        <f>T49</f>
        <v>0</v>
      </c>
      <c r="L55" t="s">
        <v>46</v>
      </c>
      <c r="M55" s="3">
        <f>IF(Y52=0,1,0)</f>
        <v>0</v>
      </c>
      <c r="N55" t="s">
        <v>47</v>
      </c>
      <c r="O55" s="3">
        <f>F53</f>
        <v>0</v>
      </c>
      <c r="P55" t="s">
        <v>48</v>
      </c>
      <c r="Q55" s="3">
        <f>IF(F49&lt;&gt;E49,1,0)</f>
        <v>1</v>
      </c>
    </row>
    <row r="57" spans="3:29" x14ac:dyDescent="0.25">
      <c r="C57" t="s">
        <v>39</v>
      </c>
      <c r="E57">
        <f>IF(F59+F58+F57&gt;1,1,0)</f>
        <v>0</v>
      </c>
      <c r="F57" s="1">
        <f t="shared" ref="F57" si="152">IF(G58=".",G57,IF((G59+G58+G57&gt;1),1,0))</f>
        <v>0</v>
      </c>
      <c r="G57" s="1">
        <f t="shared" ref="G57" si="153">IF(H58=".",H57,IF((H59+H58+H57&gt;1),1,0))</f>
        <v>1</v>
      </c>
      <c r="H57" s="1">
        <f t="shared" ref="H57" si="154">IF(I58=".",I57,IF((I59+I58+I57&gt;1),1,0))</f>
        <v>1</v>
      </c>
      <c r="I57" s="1">
        <f t="shared" ref="I57" si="155">IF(J58=".",J57,IF((J59+J58+J57&gt;1),1,0))</f>
        <v>1</v>
      </c>
      <c r="J57" s="1">
        <f t="shared" ref="J57" si="156">IF(K58=".",K57,IF((K59+K58+K57&gt;1),1,0))</f>
        <v>1</v>
      </c>
      <c r="K57" s="1">
        <f t="shared" ref="K57" si="157">IF(L58=".",L57,IF((L59+L58+L57&gt;1),1,0))</f>
        <v>1</v>
      </c>
      <c r="L57" s="1">
        <f t="shared" ref="L57" si="158">IF(M58=".",M57,IF((M59+M58+M57&gt;1),1,0))</f>
        <v>0</v>
      </c>
      <c r="M57" s="1">
        <f t="shared" ref="M57" si="159">IF(N58=".",N57,IF((N59+N58+N57&gt;1),1,0))</f>
        <v>0</v>
      </c>
      <c r="N57" s="1">
        <f t="shared" ref="N57" si="160">IF(O58=".",O57,IF((O59+O58+O57&gt;1),1,0))</f>
        <v>1</v>
      </c>
      <c r="O57" s="1">
        <f t="shared" ref="O57" si="161">IF(P58=".",P57,IF((P59+P58+P57&gt;1),1,0))</f>
        <v>1</v>
      </c>
      <c r="P57" s="1">
        <f t="shared" ref="P57" si="162">IF(Q58=".",Q57,IF((Q59+Q58+Q57&gt;1),1,0))</f>
        <v>1</v>
      </c>
      <c r="Q57" s="1">
        <f t="shared" ref="Q57" si="163">IF(R58=".",R57,IF((R59+R58+R57&gt;1),1,0))</f>
        <v>1</v>
      </c>
      <c r="R57" s="1">
        <f t="shared" ref="R57" si="164">IF(S58=".",S57,IF((S59+S58+S57&gt;1),1,0))</f>
        <v>1</v>
      </c>
      <c r="S57" s="1">
        <f>IF(T58=".",T57,IF((T59+T58+T57&gt;1),1,0))</f>
        <v>1</v>
      </c>
      <c r="T57" s="1">
        <f t="shared" ref="T57" si="165">IF(U58=".",U57,IF((U59+U58+U57&gt;1),1,0))</f>
        <v>1</v>
      </c>
      <c r="U57" s="1">
        <f t="shared" ref="U57" si="166">IF(V58=".",V57,IF((V59+V58+V57&gt;1),1,0))</f>
        <v>1</v>
      </c>
      <c r="V57" s="1">
        <f t="shared" ref="V57" si="167">IF(W58=".",W57,IF((W59+W58+W57&gt;1),1,0))</f>
        <v>0</v>
      </c>
      <c r="W57" s="1">
        <f t="shared" ref="W57" si="168">IF(X58=".",X57,IF((X59+X58+X57&gt;1),1,0))</f>
        <v>0</v>
      </c>
      <c r="X57" s="1">
        <f t="shared" ref="X57" si="169">IF(Y58=".",Y57,IF((Y59+Y58+Y57&gt;1),1,0))</f>
        <v>0</v>
      </c>
    </row>
    <row r="58" spans="3:29" x14ac:dyDescent="0.25">
      <c r="C58" t="s">
        <v>40</v>
      </c>
      <c r="F58" s="1" t="str">
        <f>F4</f>
        <v>0</v>
      </c>
      <c r="G58" s="1" t="str">
        <f t="shared" ref="G58:X58" si="170">G4</f>
        <v>0</v>
      </c>
      <c r="H58" s="1" t="str">
        <f t="shared" si="170"/>
        <v>0</v>
      </c>
      <c r="I58" s="1" t="str">
        <f t="shared" si="170"/>
        <v>1</v>
      </c>
      <c r="J58" s="1" t="str">
        <f t="shared" si="170"/>
        <v>.</v>
      </c>
      <c r="K58" s="1" t="str">
        <f t="shared" si="170"/>
        <v>1</v>
      </c>
      <c r="L58" s="1" t="str">
        <f t="shared" si="170"/>
        <v>1</v>
      </c>
      <c r="M58" s="1" t="str">
        <f t="shared" si="170"/>
        <v>0</v>
      </c>
      <c r="N58" s="1" t="str">
        <f t="shared" si="170"/>
        <v>0</v>
      </c>
      <c r="O58" s="1" t="str">
        <f t="shared" si="170"/>
        <v>.</v>
      </c>
      <c r="P58" s="1" t="str">
        <f t="shared" si="170"/>
        <v>1</v>
      </c>
      <c r="Q58" s="1" t="str">
        <f t="shared" si="170"/>
        <v>1</v>
      </c>
      <c r="R58" s="1" t="str">
        <f t="shared" si="170"/>
        <v>0</v>
      </c>
      <c r="S58" s="1" t="str">
        <f t="shared" si="170"/>
        <v>1</v>
      </c>
      <c r="T58" s="1" t="str">
        <f t="shared" si="170"/>
        <v>.</v>
      </c>
      <c r="U58" s="1" t="str">
        <f t="shared" si="170"/>
        <v>1</v>
      </c>
      <c r="V58" s="1" t="str">
        <f t="shared" si="170"/>
        <v>1</v>
      </c>
      <c r="W58" s="1" t="str">
        <f t="shared" si="170"/>
        <v>0</v>
      </c>
      <c r="X58" s="1" t="str">
        <f t="shared" si="170"/>
        <v>1</v>
      </c>
      <c r="AA58">
        <f>C4</f>
        <v>7389</v>
      </c>
      <c r="AC58" t="str">
        <f>IF(G63=1,IF(Q63=1,"Произошел перенос из старшего разряда и переполнение","Произошёл перенос из старшего разряда"),IF(Q63=1,"Произошло переполнение","все нормально"))</f>
        <v>все нормально</v>
      </c>
    </row>
    <row r="59" spans="3:29" x14ac:dyDescent="0.25">
      <c r="C59" s="5" t="s">
        <v>56</v>
      </c>
      <c r="F59" s="1" t="str">
        <f>F11</f>
        <v>1</v>
      </c>
      <c r="G59" s="1" t="str">
        <f t="shared" ref="G59:X59" si="171">G11</f>
        <v>0</v>
      </c>
      <c r="H59" s="1" t="str">
        <f t="shared" si="171"/>
        <v>1</v>
      </c>
      <c r="I59" s="1" t="str">
        <f t="shared" si="171"/>
        <v>1</v>
      </c>
      <c r="J59" s="1" t="str">
        <f t="shared" si="171"/>
        <v>.</v>
      </c>
      <c r="K59" s="1" t="str">
        <f t="shared" si="171"/>
        <v>1</v>
      </c>
      <c r="L59" s="1" t="str">
        <f t="shared" si="171"/>
        <v>1</v>
      </c>
      <c r="M59" s="1" t="str">
        <f t="shared" si="171"/>
        <v>0</v>
      </c>
      <c r="N59" s="1" t="str">
        <f t="shared" si="171"/>
        <v>0</v>
      </c>
      <c r="O59" s="1" t="str">
        <f t="shared" si="171"/>
        <v>.</v>
      </c>
      <c r="P59" s="1" t="str">
        <f t="shared" si="171"/>
        <v>1</v>
      </c>
      <c r="Q59" s="1" t="str">
        <f t="shared" si="171"/>
        <v>1</v>
      </c>
      <c r="R59" s="1" t="str">
        <f t="shared" si="171"/>
        <v>1</v>
      </c>
      <c r="S59" s="1" t="str">
        <f t="shared" si="171"/>
        <v>0</v>
      </c>
      <c r="T59" s="1" t="str">
        <f t="shared" si="171"/>
        <v>.</v>
      </c>
      <c r="U59" s="1" t="str">
        <f t="shared" si="171"/>
        <v>0</v>
      </c>
      <c r="V59" s="1" t="str">
        <f t="shared" si="171"/>
        <v>1</v>
      </c>
      <c r="W59" s="1" t="str">
        <f t="shared" si="171"/>
        <v>1</v>
      </c>
      <c r="X59" s="1" t="str">
        <f t="shared" si="171"/>
        <v>0</v>
      </c>
      <c r="Z59" s="8" t="s">
        <v>49</v>
      </c>
      <c r="AA59">
        <f>C11</f>
        <v>-17178</v>
      </c>
    </row>
    <row r="60" spans="3:29" x14ac:dyDescent="0.25">
      <c r="F60" s="7" t="s">
        <v>42</v>
      </c>
      <c r="G60" s="7" t="s">
        <v>42</v>
      </c>
      <c r="H60" s="7" t="s">
        <v>42</v>
      </c>
      <c r="I60" s="7" t="s">
        <v>42</v>
      </c>
      <c r="J60" s="7" t="s">
        <v>42</v>
      </c>
      <c r="K60" s="7" t="s">
        <v>42</v>
      </c>
      <c r="L60" s="7" t="s">
        <v>42</v>
      </c>
      <c r="M60" s="7" t="s">
        <v>42</v>
      </c>
      <c r="N60" s="7" t="s">
        <v>42</v>
      </c>
      <c r="O60" s="7" t="s">
        <v>42</v>
      </c>
      <c r="P60" s="7" t="s">
        <v>42</v>
      </c>
      <c r="Q60" s="7" t="s">
        <v>42</v>
      </c>
      <c r="R60" s="7" t="s">
        <v>42</v>
      </c>
      <c r="S60" s="7" t="s">
        <v>42</v>
      </c>
      <c r="T60" s="7" t="s">
        <v>42</v>
      </c>
      <c r="U60" s="7" t="s">
        <v>42</v>
      </c>
      <c r="V60" s="7" t="s">
        <v>42</v>
      </c>
      <c r="W60" s="7" t="s">
        <v>42</v>
      </c>
      <c r="X60" s="7" t="s">
        <v>42</v>
      </c>
      <c r="Y60">
        <f>IF(F61=0,_xlfn.DECIMAL(F61&amp;G61&amp;H61&amp;I61&amp;K61&amp;L61&amp;M61&amp;N61&amp;P61&amp;Q61&amp;R61&amp;S61&amp;U61&amp;V61&amp;W61&amp;X61,2),-_xlfn.DECIMAL(G62&amp;H62&amp;I62&amp;K62&amp;L62&amp;M62&amp;N62&amp;P62&amp;Q62&amp;R62&amp;S62&amp;U62&amp;V62&amp;W62&amp;X62,2))</f>
        <v>-9789</v>
      </c>
      <c r="AA60" s="7" t="s">
        <v>53</v>
      </c>
    </row>
    <row r="61" spans="3:29" x14ac:dyDescent="0.25">
      <c r="F61" s="1">
        <f t="shared" ref="F61:R61" si="172">IF(F59=".",".",IF(MOD(F59+F58+F57,2)=1,1,0))</f>
        <v>1</v>
      </c>
      <c r="G61" s="1">
        <f t="shared" si="172"/>
        <v>1</v>
      </c>
      <c r="H61" s="1">
        <f t="shared" si="172"/>
        <v>0</v>
      </c>
      <c r="I61" s="1">
        <f t="shared" si="172"/>
        <v>1</v>
      </c>
      <c r="J61" s="1" t="str">
        <f t="shared" si="172"/>
        <v>.</v>
      </c>
      <c r="K61" s="1">
        <f t="shared" si="172"/>
        <v>1</v>
      </c>
      <c r="L61" s="1">
        <f t="shared" si="172"/>
        <v>0</v>
      </c>
      <c r="M61" s="1">
        <f t="shared" si="172"/>
        <v>0</v>
      </c>
      <c r="N61" s="1">
        <f t="shared" si="172"/>
        <v>1</v>
      </c>
      <c r="O61" s="1" t="str">
        <f t="shared" si="172"/>
        <v>.</v>
      </c>
      <c r="P61" s="1">
        <f t="shared" si="172"/>
        <v>1</v>
      </c>
      <c r="Q61" s="1">
        <f t="shared" si="172"/>
        <v>1</v>
      </c>
      <c r="R61" s="1">
        <f t="shared" si="172"/>
        <v>0</v>
      </c>
      <c r="S61" s="1">
        <f>IF(S59=".",".",IF(MOD(S59+S58+S57,2)=1,1,0))</f>
        <v>0</v>
      </c>
      <c r="T61" s="1" t="str">
        <f t="shared" ref="T61:X61" si="173">IF(T59=".",".",IF(MOD(T59+T58+T57,2)=1,1,0))</f>
        <v>.</v>
      </c>
      <c r="U61" s="1">
        <f t="shared" si="173"/>
        <v>0</v>
      </c>
      <c r="V61" s="1">
        <f t="shared" si="173"/>
        <v>0</v>
      </c>
      <c r="W61" s="1">
        <f t="shared" si="173"/>
        <v>1</v>
      </c>
      <c r="X61" s="1">
        <f t="shared" si="173"/>
        <v>1</v>
      </c>
      <c r="Y61" s="1"/>
      <c r="AA61">
        <f>AA58+AA59</f>
        <v>-9789</v>
      </c>
    </row>
    <row r="62" spans="3:29" x14ac:dyDescent="0.25">
      <c r="C62" t="s">
        <v>50</v>
      </c>
      <c r="F62" s="9">
        <f>IF($F61=1,IF(F61=".",".",IF((COUNTIF(G61:X61,"1")&gt;0),1-F61,F61)),"")</f>
        <v>0</v>
      </c>
      <c r="G62" s="9">
        <f t="shared" ref="G62" si="174">IF($F61=1,IF(G61=".",".",IF((COUNTIF(H61:Y61,"1")&gt;0),1-G61,G61)),"")</f>
        <v>0</v>
      </c>
      <c r="H62" s="9">
        <f t="shared" ref="H62" si="175">IF($F61=1,IF(H61=".",".",IF((COUNTIF(I61:Z61,"1")&gt;0),1-H61,H61)),"")</f>
        <v>1</v>
      </c>
      <c r="I62" s="9">
        <f t="shared" ref="I62" si="176">IF($F61=1,IF(I61=".",".",IF((COUNTIF(J61:AA61,"1")&gt;0),1-I61,I61)),"")</f>
        <v>0</v>
      </c>
      <c r="J62" s="9" t="str">
        <f t="shared" ref="J62" si="177">IF($F61=1,IF(J61=".",".",IF((COUNTIF(K61:AB61,"1")&gt;0),1-J61,J61)),"")</f>
        <v>.</v>
      </c>
      <c r="K62" s="9">
        <f t="shared" ref="K62" si="178">IF($F61=1,IF(K61=".",".",IF((COUNTIF(L61:AC61,"1")&gt;0),1-K61,K61)),"")</f>
        <v>0</v>
      </c>
      <c r="L62" s="9">
        <f t="shared" ref="L62" si="179">IF($F61=1,IF(L61=".",".",IF((COUNTIF(M61:AD61,"1")&gt;0),1-L61,L61)),"")</f>
        <v>1</v>
      </c>
      <c r="M62" s="9">
        <f t="shared" ref="M62" si="180">IF($F61=1,IF(M61=".",".",IF((COUNTIF(N61:AE61,"1")&gt;0),1-M61,M61)),"")</f>
        <v>1</v>
      </c>
      <c r="N62" s="9">
        <f t="shared" ref="N62" si="181">IF($F61=1,IF(N61=".",".",IF((COUNTIF(O61:AF61,"1")&gt;0),1-N61,N61)),"")</f>
        <v>0</v>
      </c>
      <c r="O62" s="9" t="str">
        <f t="shared" ref="O62" si="182">IF($F61=1,IF(O61=".",".",IF((COUNTIF(P61:AG61,"1")&gt;0),1-O61,O61)),"")</f>
        <v>.</v>
      </c>
      <c r="P62" s="9">
        <f t="shared" ref="P62" si="183">IF($F61=1,IF(P61=".",".",IF((COUNTIF(Q61:AH61,"1")&gt;0),1-P61,P61)),"")</f>
        <v>0</v>
      </c>
      <c r="Q62" s="9">
        <f t="shared" ref="Q62" si="184">IF($F61=1,IF(Q61=".",".",IF((COUNTIF(R61:AI61,"1")&gt;0),1-Q61,Q61)),"")</f>
        <v>0</v>
      </c>
      <c r="R62" s="9">
        <f t="shared" ref="R62" si="185">IF($F61=1,IF(R61=".",".",IF((COUNTIF(S61:AJ61,"1")&gt;0),1-R61,R61)),"")</f>
        <v>1</v>
      </c>
      <c r="S62" s="9">
        <f t="shared" ref="S62" si="186">IF($F61=1,IF(S61=".",".",IF((COUNTIF(T61:AK61,"1")&gt;0),1-S61,S61)),"")</f>
        <v>1</v>
      </c>
      <c r="T62" s="9" t="str">
        <f t="shared" ref="T62" si="187">IF($F61=1,IF(T61=".",".",IF((COUNTIF(U61:AL61,"1")&gt;0),1-T61,T61)),"")</f>
        <v>.</v>
      </c>
      <c r="U62" s="9">
        <f t="shared" ref="U62" si="188">IF($F61=1,IF(U61=".",".",IF((COUNTIF(V61:AM61,"1")&gt;0),1-U61,U61)),"")</f>
        <v>1</v>
      </c>
      <c r="V62" s="9">
        <f t="shared" ref="V62" si="189">IF($F61=1,IF(V61=".",".",IF((COUNTIF(W61:AN61,"1")&gt;0),1-V61,V61)),"")</f>
        <v>1</v>
      </c>
      <c r="W62" s="9">
        <f t="shared" ref="W62" si="190">IF($F61=1,IF(W61=".",".",IF((COUNTIF(X61:AO61,"1")&gt;0),1-W61,W61)),"")</f>
        <v>0</v>
      </c>
      <c r="X62" s="9">
        <f t="shared" ref="X62" si="191">IF($F61=1,IF(X61=".",".",IF((COUNTIF(Y61:AP61,"1")&gt;0),1-X61,X61)),"")</f>
        <v>1</v>
      </c>
    </row>
    <row r="63" spans="3:29" x14ac:dyDescent="0.25">
      <c r="F63" t="s">
        <v>43</v>
      </c>
      <c r="G63" s="3">
        <f>F57</f>
        <v>0</v>
      </c>
      <c r="H63" t="s">
        <v>44</v>
      </c>
      <c r="I63" s="3">
        <f>IF(MOD(SUM(F61:X61),2)=0,1,0)</f>
        <v>0</v>
      </c>
      <c r="J63" t="s">
        <v>45</v>
      </c>
      <c r="K63" s="3">
        <f>T57</f>
        <v>1</v>
      </c>
      <c r="L63" t="s">
        <v>46</v>
      </c>
      <c r="M63" s="3">
        <f>IF(Y60=0,1,0)</f>
        <v>0</v>
      </c>
      <c r="N63" t="s">
        <v>47</v>
      </c>
      <c r="O63" s="3">
        <f>F61</f>
        <v>1</v>
      </c>
      <c r="P63" t="s">
        <v>48</v>
      </c>
      <c r="Q63" s="3">
        <f>IF(F57&lt;&gt;E57,1,0)</f>
        <v>0</v>
      </c>
    </row>
    <row r="65" spans="3:29" x14ac:dyDescent="0.25">
      <c r="C65" t="s">
        <v>39</v>
      </c>
      <c r="E65">
        <f>IF(F67+F66+F65&gt;1,1,0)</f>
        <v>1</v>
      </c>
      <c r="F65" s="1">
        <f t="shared" ref="F65" si="192">IF(G66=".",G65,IF((G67+G66+G65&gt;1),1,0))</f>
        <v>1</v>
      </c>
      <c r="G65" s="1">
        <f t="shared" ref="G65" si="193">IF(H66=".",H65,IF((H67+H66+H65&gt;1),1,0))</f>
        <v>0</v>
      </c>
      <c r="H65" s="1">
        <f t="shared" ref="H65" si="194">IF(I66=".",I65,IF((I67+I66+I65&gt;1),1,0))</f>
        <v>1</v>
      </c>
      <c r="I65" s="1">
        <f t="shared" ref="I65" si="195">IF(J66=".",J65,IF((J67+J66+J65&gt;1),1,0))</f>
        <v>1</v>
      </c>
      <c r="J65" s="1">
        <f t="shared" ref="J65" si="196">IF(K66=".",K65,IF((K67+K66+K65&gt;1),1,0))</f>
        <v>1</v>
      </c>
      <c r="K65" s="1">
        <f t="shared" ref="K65" si="197">IF(L66=".",L65,IF((L67+L66+L65&gt;1),1,0))</f>
        <v>1</v>
      </c>
      <c r="L65" s="1">
        <f t="shared" ref="L65" si="198">IF(M66=".",M65,IF((M67+M66+M65&gt;1),1,0))</f>
        <v>1</v>
      </c>
      <c r="M65" s="1">
        <f t="shared" ref="M65" si="199">IF(N66=".",N65,IF((N67+N66+N65&gt;1),1,0))</f>
        <v>1</v>
      </c>
      <c r="N65" s="1">
        <f t="shared" ref="N65" si="200">IF(O66=".",O65,IF((O67+O66+O65&gt;1),1,0))</f>
        <v>1</v>
      </c>
      <c r="O65" s="1">
        <f t="shared" ref="O65" si="201">IF(P66=".",P65,IF((P67+P66+P65&gt;1),1,0))</f>
        <v>1</v>
      </c>
      <c r="P65" s="1">
        <f t="shared" ref="P65" si="202">IF(Q66=".",Q65,IF((Q67+Q66+Q65&gt;1),1,0))</f>
        <v>1</v>
      </c>
      <c r="Q65" s="1">
        <f t="shared" ref="Q65" si="203">IF(R66=".",R65,IF((R67+R66+R65&gt;1),1,0))</f>
        <v>0</v>
      </c>
      <c r="R65" s="1">
        <f t="shared" ref="R65" si="204">IF(S66=".",S65,IF((S67+S66+S65&gt;1),1,0))</f>
        <v>0</v>
      </c>
      <c r="S65" s="1">
        <f>IF(T66=".",T65,IF((T67+T66+T65&gt;1),1,0))</f>
        <v>0</v>
      </c>
      <c r="T65" s="1">
        <f t="shared" ref="T65" si="205">IF(U66=".",U65,IF((U67+U66+U65&gt;1),1,0))</f>
        <v>0</v>
      </c>
      <c r="U65" s="1">
        <f t="shared" ref="U65" si="206">IF(V66=".",V65,IF((V67+V66+V65&gt;1),1,0))</f>
        <v>1</v>
      </c>
      <c r="V65" s="1">
        <f t="shared" ref="V65" si="207">IF(W66=".",W65,IF((W67+W66+W65&gt;1),1,0))</f>
        <v>1</v>
      </c>
      <c r="W65" s="1">
        <f t="shared" ref="W65" si="208">IF(X66=".",X65,IF((X67+X66+X65&gt;1),1,0))</f>
        <v>1</v>
      </c>
      <c r="X65" s="1">
        <f t="shared" ref="X65" si="209">IF(Y66=".",Y65,IF((Y67+Y66+Y65&gt;1),1,0))</f>
        <v>0</v>
      </c>
    </row>
    <row r="66" spans="3:29" x14ac:dyDescent="0.25">
      <c r="C66" t="s">
        <v>59</v>
      </c>
      <c r="F66" s="1" t="str">
        <f>F14</f>
        <v>1</v>
      </c>
      <c r="G66" s="1" t="str">
        <f t="shared" ref="G66:X66" si="210">G14</f>
        <v>1</v>
      </c>
      <c r="H66" s="1" t="str">
        <f t="shared" si="210"/>
        <v>0</v>
      </c>
      <c r="I66" s="1" t="str">
        <f t="shared" si="210"/>
        <v>1</v>
      </c>
      <c r="J66" s="1" t="str">
        <f t="shared" si="210"/>
        <v>.</v>
      </c>
      <c r="K66" s="1" t="str">
        <f t="shared" si="210"/>
        <v>1</v>
      </c>
      <c r="L66" s="1" t="str">
        <f t="shared" si="210"/>
        <v>0</v>
      </c>
      <c r="M66" s="1" t="str">
        <f t="shared" si="210"/>
        <v>0</v>
      </c>
      <c r="N66" s="1" t="str">
        <f t="shared" si="210"/>
        <v>1</v>
      </c>
      <c r="O66" s="1" t="str">
        <f t="shared" si="210"/>
        <v>.</v>
      </c>
      <c r="P66" s="1" t="str">
        <f t="shared" si="210"/>
        <v>1</v>
      </c>
      <c r="Q66" s="1" t="str">
        <f t="shared" si="210"/>
        <v>1</v>
      </c>
      <c r="R66" s="1" t="str">
        <f t="shared" si="210"/>
        <v>0</v>
      </c>
      <c r="S66" s="1" t="str">
        <f t="shared" si="210"/>
        <v>0</v>
      </c>
      <c r="T66" s="1" t="str">
        <f t="shared" si="210"/>
        <v>.</v>
      </c>
      <c r="U66" s="1" t="str">
        <f t="shared" si="210"/>
        <v>0</v>
      </c>
      <c r="V66" s="1" t="str">
        <f t="shared" si="210"/>
        <v>0</v>
      </c>
      <c r="W66" s="1" t="str">
        <f t="shared" si="210"/>
        <v>1</v>
      </c>
      <c r="X66" s="1" t="str">
        <f t="shared" si="210"/>
        <v>1</v>
      </c>
      <c r="AA66">
        <f>C14</f>
        <v>-9789</v>
      </c>
      <c r="AC66" t="str">
        <f>IF(G71=1,IF(Q71=1,"Произошел перенос из старшего разряда и переполнение","Произошёл перенос из старшего разряда"),IF(Q71=1,"Произошло переполнение","все нормально"))</f>
        <v>Произошёл перенос из старшего разряда</v>
      </c>
    </row>
    <row r="67" spans="3:29" x14ac:dyDescent="0.25">
      <c r="C67" s="5" t="s">
        <v>52</v>
      </c>
      <c r="F67" s="1" t="str">
        <f>F6</f>
        <v>0</v>
      </c>
      <c r="G67" s="1" t="str">
        <f t="shared" ref="G67:X67" si="211">G6</f>
        <v>1</v>
      </c>
      <c r="H67" s="1" t="str">
        <f t="shared" si="211"/>
        <v>0</v>
      </c>
      <c r="I67" s="1" t="str">
        <f t="shared" si="211"/>
        <v>1</v>
      </c>
      <c r="J67" s="1" t="str">
        <f t="shared" si="211"/>
        <v>.</v>
      </c>
      <c r="K67" s="1" t="str">
        <f t="shared" si="211"/>
        <v>1</v>
      </c>
      <c r="L67" s="1" t="str">
        <f t="shared" si="211"/>
        <v>1</v>
      </c>
      <c r="M67" s="1" t="str">
        <f t="shared" si="211"/>
        <v>1</v>
      </c>
      <c r="N67" s="1" t="str">
        <f t="shared" si="211"/>
        <v>1</v>
      </c>
      <c r="O67" s="1" t="str">
        <f t="shared" si="211"/>
        <v>.</v>
      </c>
      <c r="P67" s="1" t="str">
        <f t="shared" si="211"/>
        <v>1</v>
      </c>
      <c r="Q67" s="1" t="str">
        <f t="shared" si="211"/>
        <v>1</v>
      </c>
      <c r="R67" s="1" t="str">
        <f t="shared" si="211"/>
        <v>1</v>
      </c>
      <c r="S67" s="1" t="str">
        <f t="shared" si="211"/>
        <v>1</v>
      </c>
      <c r="T67" s="1" t="str">
        <f t="shared" si="211"/>
        <v>.</v>
      </c>
      <c r="U67" s="1" t="str">
        <f t="shared" si="211"/>
        <v>0</v>
      </c>
      <c r="V67" s="1" t="str">
        <f t="shared" si="211"/>
        <v>1</v>
      </c>
      <c r="W67" s="1" t="str">
        <f t="shared" si="211"/>
        <v>1</v>
      </c>
      <c r="X67" s="1" t="str">
        <f t="shared" si="211"/>
        <v>1</v>
      </c>
      <c r="Z67" s="8" t="s">
        <v>49</v>
      </c>
      <c r="AA67">
        <f>C6</f>
        <v>24567</v>
      </c>
    </row>
    <row r="68" spans="3:29" x14ac:dyDescent="0.25">
      <c r="F68" s="7" t="s">
        <v>42</v>
      </c>
      <c r="G68" s="7" t="s">
        <v>42</v>
      </c>
      <c r="H68" s="7" t="s">
        <v>42</v>
      </c>
      <c r="I68" s="7" t="s">
        <v>42</v>
      </c>
      <c r="J68" s="7" t="s">
        <v>42</v>
      </c>
      <c r="K68" s="7" t="s">
        <v>42</v>
      </c>
      <c r="L68" s="7" t="s">
        <v>42</v>
      </c>
      <c r="M68" s="7" t="s">
        <v>42</v>
      </c>
      <c r="N68" s="7" t="s">
        <v>42</v>
      </c>
      <c r="O68" s="7" t="s">
        <v>42</v>
      </c>
      <c r="P68" s="7" t="s">
        <v>42</v>
      </c>
      <c r="Q68" s="7" t="s">
        <v>42</v>
      </c>
      <c r="R68" s="7" t="s">
        <v>42</v>
      </c>
      <c r="S68" s="7" t="s">
        <v>42</v>
      </c>
      <c r="T68" s="7" t="s">
        <v>42</v>
      </c>
      <c r="U68" s="7" t="s">
        <v>42</v>
      </c>
      <c r="V68" s="7" t="s">
        <v>42</v>
      </c>
      <c r="W68" s="7" t="s">
        <v>42</v>
      </c>
      <c r="X68" s="7" t="s">
        <v>42</v>
      </c>
      <c r="Y68">
        <f>IF(F69=0,_xlfn.DECIMAL(F69&amp;G69&amp;H69&amp;I69&amp;K69&amp;L69&amp;M69&amp;N69&amp;P69&amp;Q69&amp;R69&amp;S69&amp;U69&amp;V69&amp;W69&amp;X69,2),-_xlfn.DECIMAL(G70&amp;H70&amp;I70&amp;K70&amp;L70&amp;M70&amp;N70&amp;P70&amp;Q70&amp;R70&amp;S70&amp;U70&amp;V70&amp;W70&amp;X70,2))</f>
        <v>14778</v>
      </c>
      <c r="AA68" s="7" t="s">
        <v>53</v>
      </c>
    </row>
    <row r="69" spans="3:29" x14ac:dyDescent="0.25">
      <c r="F69" s="1">
        <f t="shared" ref="F69:R69" si="212">IF(F67=".",".",IF(MOD(F67+F66+F65,2)=1,1,0))</f>
        <v>0</v>
      </c>
      <c r="G69" s="1">
        <f t="shared" si="212"/>
        <v>0</v>
      </c>
      <c r="H69" s="1">
        <f t="shared" si="212"/>
        <v>1</v>
      </c>
      <c r="I69" s="1">
        <f t="shared" si="212"/>
        <v>1</v>
      </c>
      <c r="J69" s="1" t="str">
        <f t="shared" si="212"/>
        <v>.</v>
      </c>
      <c r="K69" s="1">
        <f t="shared" si="212"/>
        <v>1</v>
      </c>
      <c r="L69" s="1">
        <f t="shared" si="212"/>
        <v>0</v>
      </c>
      <c r="M69" s="1">
        <f t="shared" si="212"/>
        <v>0</v>
      </c>
      <c r="N69" s="1">
        <f t="shared" si="212"/>
        <v>1</v>
      </c>
      <c r="O69" s="1" t="str">
        <f t="shared" si="212"/>
        <v>.</v>
      </c>
      <c r="P69" s="1">
        <f t="shared" si="212"/>
        <v>1</v>
      </c>
      <c r="Q69" s="1">
        <f t="shared" si="212"/>
        <v>0</v>
      </c>
      <c r="R69" s="1">
        <f t="shared" si="212"/>
        <v>1</v>
      </c>
      <c r="S69" s="1">
        <f>IF(S67=".",".",IF(MOD(S67+S66+S65,2)=1,1,0))</f>
        <v>1</v>
      </c>
      <c r="T69" s="1" t="str">
        <f t="shared" ref="T69:X69" si="213">IF(T67=".",".",IF(MOD(T67+T66+T65,2)=1,1,0))</f>
        <v>.</v>
      </c>
      <c r="U69" s="1">
        <f t="shared" si="213"/>
        <v>1</v>
      </c>
      <c r="V69" s="1">
        <f t="shared" si="213"/>
        <v>0</v>
      </c>
      <c r="W69" s="1">
        <f t="shared" si="213"/>
        <v>1</v>
      </c>
      <c r="X69" s="1">
        <f t="shared" si="213"/>
        <v>0</v>
      </c>
      <c r="Y69" s="1"/>
      <c r="AA69">
        <f>AA66+AA67</f>
        <v>14778</v>
      </c>
    </row>
    <row r="70" spans="3:29" x14ac:dyDescent="0.25">
      <c r="C70" t="s">
        <v>50</v>
      </c>
      <c r="F70" s="9" t="str">
        <f>IF($F69=1,IF(F69=".",".",IF((COUNTIF(G69:X69,"1")&gt;0),1-F69,F69)),"")</f>
        <v/>
      </c>
      <c r="G70" s="9" t="str">
        <f t="shared" ref="G70" si="214">IF($F69=1,IF(G69=".",".",IF((COUNTIF(H69:Y69,"1")&gt;0),1-G69,G69)),"")</f>
        <v/>
      </c>
      <c r="H70" s="9" t="str">
        <f t="shared" ref="H70" si="215">IF($F69=1,IF(H69=".",".",IF((COUNTIF(I69:Z69,"1")&gt;0),1-H69,H69)),"")</f>
        <v/>
      </c>
      <c r="I70" s="9" t="str">
        <f t="shared" ref="I70" si="216">IF($F69=1,IF(I69=".",".",IF((COUNTIF(J69:AA69,"1")&gt;0),1-I69,I69)),"")</f>
        <v/>
      </c>
      <c r="J70" s="9" t="str">
        <f t="shared" ref="J70" si="217">IF($F69=1,IF(J69=".",".",IF((COUNTIF(K69:AB69,"1")&gt;0),1-J69,J69)),"")</f>
        <v/>
      </c>
      <c r="K70" s="9" t="str">
        <f t="shared" ref="K70" si="218">IF($F69=1,IF(K69=".",".",IF((COUNTIF(L69:AC69,"1")&gt;0),1-K69,K69)),"")</f>
        <v/>
      </c>
      <c r="L70" s="9" t="str">
        <f t="shared" ref="L70" si="219">IF($F69=1,IF(L69=".",".",IF((COUNTIF(M69:AD69,"1")&gt;0),1-L69,L69)),"")</f>
        <v/>
      </c>
      <c r="M70" s="9" t="str">
        <f t="shared" ref="M70" si="220">IF($F69=1,IF(M69=".",".",IF((COUNTIF(N69:AE69,"1")&gt;0),1-M69,M69)),"")</f>
        <v/>
      </c>
      <c r="N70" s="9" t="str">
        <f t="shared" ref="N70" si="221">IF($F69=1,IF(N69=".",".",IF((COUNTIF(O69:AF69,"1")&gt;0),1-N69,N69)),"")</f>
        <v/>
      </c>
      <c r="O70" s="9" t="str">
        <f t="shared" ref="O70" si="222">IF($F69=1,IF(O69=".",".",IF((COUNTIF(P69:AG69,"1")&gt;0),1-O69,O69)),"")</f>
        <v/>
      </c>
      <c r="P70" s="9" t="str">
        <f t="shared" ref="P70" si="223">IF($F69=1,IF(P69=".",".",IF((COUNTIF(Q69:AH69,"1")&gt;0),1-P69,P69)),"")</f>
        <v/>
      </c>
      <c r="Q70" s="9" t="str">
        <f t="shared" ref="Q70" si="224">IF($F69=1,IF(Q69=".",".",IF((COUNTIF(R69:AI69,"1")&gt;0),1-Q69,Q69)),"")</f>
        <v/>
      </c>
      <c r="R70" s="9" t="str">
        <f t="shared" ref="R70" si="225">IF($F69=1,IF(R69=".",".",IF((COUNTIF(S69:AJ69,"1")&gt;0),1-R69,R69)),"")</f>
        <v/>
      </c>
      <c r="S70" s="9" t="str">
        <f t="shared" ref="S70" si="226">IF($F69=1,IF(S69=".",".",IF((COUNTIF(T69:AK69,"1")&gt;0),1-S69,S69)),"")</f>
        <v/>
      </c>
      <c r="T70" s="9" t="str">
        <f t="shared" ref="T70" si="227">IF($F69=1,IF(T69=".",".",IF((COUNTIF(U69:AL69,"1")&gt;0),1-T69,T69)),"")</f>
        <v/>
      </c>
      <c r="U70" s="9" t="str">
        <f t="shared" ref="U70" si="228">IF($F69=1,IF(U69=".",".",IF((COUNTIF(V69:AM69,"1")&gt;0),1-U69,U69)),"")</f>
        <v/>
      </c>
      <c r="V70" s="9" t="str">
        <f t="shared" ref="V70" si="229">IF($F69=1,IF(V69=".",".",IF((COUNTIF(W69:AN69,"1")&gt;0),1-V69,V69)),"")</f>
        <v/>
      </c>
      <c r="W70" s="9" t="str">
        <f t="shared" ref="W70" si="230">IF($F69=1,IF(W69=".",".",IF((COUNTIF(X69:AO69,"1")&gt;0),1-W69,W69)),"")</f>
        <v/>
      </c>
      <c r="X70" s="9" t="str">
        <f t="shared" ref="X70" si="231">IF($F69=1,IF(X69=".",".",IF((COUNTIF(Y69:AP69,"1")&gt;0),1-X69,X69)),"")</f>
        <v/>
      </c>
    </row>
    <row r="71" spans="3:29" x14ac:dyDescent="0.25">
      <c r="F71" t="s">
        <v>43</v>
      </c>
      <c r="G71" s="3">
        <f>F65</f>
        <v>1</v>
      </c>
      <c r="H71" t="s">
        <v>44</v>
      </c>
      <c r="I71" s="3">
        <f>IF(MOD(SUM(F69:X69),2)=0,1,0)</f>
        <v>0</v>
      </c>
      <c r="J71" t="s">
        <v>45</v>
      </c>
      <c r="K71" s="3">
        <f>T65</f>
        <v>0</v>
      </c>
      <c r="L71" t="s">
        <v>46</v>
      </c>
      <c r="M71" s="3">
        <f>IF(Y68=0,1,0)</f>
        <v>0</v>
      </c>
      <c r="N71" t="s">
        <v>47</v>
      </c>
      <c r="O71" s="3">
        <f>F69</f>
        <v>0</v>
      </c>
      <c r="P71" t="s">
        <v>48</v>
      </c>
      <c r="Q71" s="3">
        <f>IF(F65&lt;&gt;E65,1,0)</f>
        <v>0</v>
      </c>
    </row>
  </sheetData>
  <pageMargins left="0.7" right="0.7" top="0.75" bottom="0.75" header="0.3" footer="0.3"/>
  <pageSetup paperSize="9" orientation="landscape" r:id="rId1"/>
  <headerFooter>
    <oddHeader xml:space="preserve">&amp;CБашлачёв Александр, вариант 92 % 40 = 12
</oddHeader>
    <oddFooter>&amp;C13.12.2025, 3:40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SmyZik SmyZik</dc:creator>
  <cp:lastModifiedBy>Башлачёв Александр Павлович</cp:lastModifiedBy>
  <dcterms:created xsi:type="dcterms:W3CDTF">2015-06-05T18:19:34Z</dcterms:created>
  <dcterms:modified xsi:type="dcterms:W3CDTF">2025-12-13T12:20:05Z</dcterms:modified>
</cp:coreProperties>
</file>