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e7fa5dc955ca3064/Рабочий стол/itmo/Infa 1/lab/lab5/"/>
    </mc:Choice>
  </mc:AlternateContent>
  <xr:revisionPtr revIDLastSave="264" documentId="11_AD4DF75460589B3ACB7284CF5F1B56AA5ADEDD97" xr6:coauthVersionLast="47" xr6:coauthVersionMax="47" xr10:uidLastSave="{622EDF89-4920-4DA3-B347-B092C79D0DCE}"/>
  <bookViews>
    <workbookView xWindow="-120" yWindow="-120" windowWidth="38640" windowHeight="211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" i="1" l="1"/>
  <c r="M23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G27" i="1"/>
  <c r="H27" i="1"/>
  <c r="I27" i="1"/>
  <c r="J27" i="1"/>
  <c r="J29" i="1" s="1"/>
  <c r="K27" i="1"/>
  <c r="L27" i="1"/>
  <c r="M27" i="1"/>
  <c r="N27" i="1"/>
  <c r="O27" i="1"/>
  <c r="P27" i="1"/>
  <c r="Q27" i="1"/>
  <c r="R27" i="1"/>
  <c r="S27" i="1"/>
  <c r="T27" i="1"/>
  <c r="T29" i="1" s="1"/>
  <c r="U27" i="1"/>
  <c r="V27" i="1"/>
  <c r="W27" i="1"/>
  <c r="X27" i="1"/>
  <c r="W25" i="1" s="1"/>
  <c r="V25" i="1" s="1"/>
  <c r="F27" i="1"/>
  <c r="F26" i="1"/>
  <c r="O29" i="1"/>
  <c r="AA27" i="1"/>
  <c r="AA26" i="1"/>
  <c r="AA29" i="1" s="1"/>
  <c r="X25" i="1"/>
  <c r="Y20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F22" i="1"/>
  <c r="AC18" i="1"/>
  <c r="AA21" i="1"/>
  <c r="AA19" i="1"/>
  <c r="AA18" i="1"/>
  <c r="Q23" i="1"/>
  <c r="O23" i="1"/>
  <c r="K23" i="1"/>
  <c r="I23" i="1"/>
  <c r="G23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T21" i="1"/>
  <c r="U21" i="1"/>
  <c r="V21" i="1"/>
  <c r="W21" i="1"/>
  <c r="X21" i="1"/>
  <c r="S21" i="1"/>
  <c r="W17" i="1"/>
  <c r="V17" i="1" s="1"/>
  <c r="U17" i="1" s="1"/>
  <c r="T17" i="1" s="1"/>
  <c r="S17" i="1" s="1"/>
  <c r="R17" i="1" s="1"/>
  <c r="Q17" i="1" s="1"/>
  <c r="P17" i="1" s="1"/>
  <c r="O17" i="1" s="1"/>
  <c r="N17" i="1" s="1"/>
  <c r="M17" i="1" s="1"/>
  <c r="L17" i="1" s="1"/>
  <c r="K17" i="1" s="1"/>
  <c r="J17" i="1" s="1"/>
  <c r="I17" i="1" s="1"/>
  <c r="H17" i="1" s="1"/>
  <c r="G17" i="1" s="1"/>
  <c r="F17" i="1" s="1"/>
  <c r="X17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F19" i="1"/>
  <c r="F18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F4" i="1"/>
  <c r="C8" i="1"/>
  <c r="C14" i="1" s="1"/>
  <c r="C7" i="1"/>
  <c r="C13" i="1" s="1"/>
  <c r="C6" i="1"/>
  <c r="C12" i="1" s="1"/>
  <c r="C5" i="1"/>
  <c r="C11" i="1" s="1"/>
  <c r="C4" i="1"/>
  <c r="C10" i="1" s="1"/>
  <c r="U25" i="1" l="1"/>
  <c r="W29" i="1"/>
  <c r="X29" i="1"/>
  <c r="U29" i="1"/>
  <c r="T25" i="1"/>
  <c r="V29" i="1"/>
  <c r="C9" i="1"/>
  <c r="C15" i="1" s="1"/>
  <c r="K31" i="1" l="1"/>
  <c r="S25" i="1"/>
  <c r="R25" i="1" l="1"/>
  <c r="S29" i="1"/>
  <c r="Q25" i="1" l="1"/>
  <c r="R29" i="1"/>
  <c r="P25" i="1" l="1"/>
  <c r="Q29" i="1"/>
  <c r="P29" i="1" l="1"/>
  <c r="O25" i="1"/>
  <c r="N25" i="1" s="1"/>
  <c r="N29" i="1" l="1"/>
  <c r="M25" i="1"/>
  <c r="M29" i="1" l="1"/>
  <c r="L25" i="1"/>
  <c r="K25" i="1" l="1"/>
  <c r="L29" i="1"/>
  <c r="K29" i="1" l="1"/>
  <c r="J25" i="1"/>
  <c r="I25" i="1" s="1"/>
  <c r="I29" i="1" l="1"/>
  <c r="H25" i="1"/>
  <c r="H29" i="1" l="1"/>
  <c r="G25" i="1"/>
  <c r="F25" i="1" l="1"/>
  <c r="G29" i="1"/>
  <c r="Q31" i="1" l="1"/>
  <c r="G31" i="1"/>
  <c r="AC26" i="1" s="1"/>
  <c r="F29" i="1"/>
  <c r="R30" i="1" l="1"/>
  <c r="F30" i="1"/>
  <c r="O31" i="1"/>
  <c r="Q30" i="1"/>
  <c r="P30" i="1"/>
  <c r="O30" i="1"/>
  <c r="I31" i="1"/>
  <c r="N30" i="1"/>
  <c r="M30" i="1"/>
  <c r="X30" i="1"/>
  <c r="L30" i="1"/>
  <c r="S30" i="1"/>
  <c r="W30" i="1"/>
  <c r="K30" i="1"/>
  <c r="V30" i="1"/>
  <c r="J30" i="1"/>
  <c r="U30" i="1"/>
  <c r="I30" i="1"/>
  <c r="G30" i="1"/>
  <c r="T30" i="1"/>
  <c r="H30" i="1"/>
  <c r="Y28" i="1" l="1"/>
</calcChain>
</file>

<file path=xl/sharedStrings.xml><?xml version="1.0" encoding="utf-8"?>
<sst xmlns="http://schemas.openxmlformats.org/spreadsheetml/2006/main" count="104" uniqueCount="54">
  <si>
    <t xml:space="preserve">A = </t>
  </si>
  <si>
    <t>Башлачёв Александр, вариант 92 % 40 = 12</t>
  </si>
  <si>
    <t xml:space="preserve">С = </t>
  </si>
  <si>
    <t>x1=</t>
  </si>
  <si>
    <t>x2=</t>
  </si>
  <si>
    <t>x3=</t>
  </si>
  <si>
    <t>x4=</t>
  </si>
  <si>
    <t>x5=</t>
  </si>
  <si>
    <t>x6=</t>
  </si>
  <si>
    <t>x7=</t>
  </si>
  <si>
    <t>x8=</t>
  </si>
  <si>
    <t>x9=</t>
  </si>
  <si>
    <t>x10=</t>
  </si>
  <si>
    <t>x11=</t>
  </si>
  <si>
    <t>x12=</t>
  </si>
  <si>
    <t>- x1 =</t>
  </si>
  <si>
    <t>- x2 =</t>
  </si>
  <si>
    <t xml:space="preserve">- x3 = </t>
  </si>
  <si>
    <t>- x4 =</t>
  </si>
  <si>
    <t>- x5 =</t>
  </si>
  <si>
    <t>- x6 =</t>
  </si>
  <si>
    <t>A =</t>
  </si>
  <si>
    <t>C =</t>
  </si>
  <si>
    <t>A + C =</t>
  </si>
  <si>
    <t>A + C + C =</t>
  </si>
  <si>
    <t>C - A =</t>
  </si>
  <si>
    <t>65536 - x4 =</t>
  </si>
  <si>
    <t xml:space="preserve">B1 = </t>
  </si>
  <si>
    <t>B2 =</t>
  </si>
  <si>
    <t>B3 =</t>
  </si>
  <si>
    <t>B4 =</t>
  </si>
  <si>
    <t>B5 =</t>
  </si>
  <si>
    <t>B6 =</t>
  </si>
  <si>
    <t>B7 =</t>
  </si>
  <si>
    <t>B8 =</t>
  </si>
  <si>
    <t>B9 =</t>
  </si>
  <si>
    <t>B10 =</t>
  </si>
  <si>
    <t>B11 =</t>
  </si>
  <si>
    <t>B12 =</t>
  </si>
  <si>
    <t>.</t>
  </si>
  <si>
    <t>Перенос</t>
  </si>
  <si>
    <t>B1</t>
  </si>
  <si>
    <t>+B2</t>
  </si>
  <si>
    <t>-</t>
  </si>
  <si>
    <t xml:space="preserve">CF = </t>
  </si>
  <si>
    <t>PF =</t>
  </si>
  <si>
    <t>AF=</t>
  </si>
  <si>
    <t>ZF =</t>
  </si>
  <si>
    <t>SF=</t>
  </si>
  <si>
    <t>OF=</t>
  </si>
  <si>
    <t>+</t>
  </si>
  <si>
    <t>перевод из допкода</t>
  </si>
  <si>
    <t>B2</t>
  </si>
  <si>
    <t>+B3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</si>
</sst>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quotePrefix="1"/>
    <xf numFmtId="0" fontId="3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quotePrefix="1" applyAlignment="1">
      <alignment horizontal="righ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1"/>
  <sheetViews>
    <sheetView tabSelected="1" topLeftCell="A4" workbookViewId="0">
      <selection activeCell="X32" sqref="X32"/>
    </sheetView>
  </sheetViews>
  <sheetFormatPr defaultRowHeight="15" x14ac:dyDescent="0.25"/>
  <cols>
    <col min="2" max="2" width="12.28515625" customWidth="1"/>
    <col min="4" max="4" width="4.28515625" customWidth="1"/>
    <col min="6" max="24" width="3.85546875" customWidth="1"/>
  </cols>
  <sheetData>
    <row r="1" spans="1:24" ht="15" customHeight="1" x14ac:dyDescent="0.25">
      <c r="B1" s="3" t="s">
        <v>0</v>
      </c>
      <c r="C1" s="4">
        <v>7389</v>
      </c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ht="15" customHeight="1" x14ac:dyDescent="0.25">
      <c r="B2" s="3" t="s">
        <v>2</v>
      </c>
      <c r="C2" s="4">
        <v>17178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x14ac:dyDescent="0.25">
      <c r="F3" s="7">
        <v>15</v>
      </c>
      <c r="G3" s="7">
        <v>14</v>
      </c>
      <c r="H3" s="7">
        <v>13</v>
      </c>
      <c r="I3" s="7">
        <v>12</v>
      </c>
      <c r="J3" s="7" t="s">
        <v>39</v>
      </c>
      <c r="K3" s="7">
        <v>11</v>
      </c>
      <c r="L3" s="7">
        <v>10</v>
      </c>
      <c r="M3" s="7">
        <v>9</v>
      </c>
      <c r="N3" s="7">
        <v>8</v>
      </c>
      <c r="O3" s="7" t="s">
        <v>39</v>
      </c>
      <c r="P3" s="7">
        <v>7</v>
      </c>
      <c r="Q3" s="7">
        <v>6</v>
      </c>
      <c r="R3" s="7">
        <v>5</v>
      </c>
      <c r="S3" s="7">
        <v>4</v>
      </c>
      <c r="T3" s="7" t="s">
        <v>39</v>
      </c>
      <c r="U3" s="7">
        <v>3</v>
      </c>
      <c r="V3" s="7">
        <v>2</v>
      </c>
      <c r="W3" s="7">
        <v>1</v>
      </c>
      <c r="X3" s="7">
        <v>0</v>
      </c>
    </row>
    <row r="4" spans="1:24" ht="15.75" x14ac:dyDescent="0.25">
      <c r="A4" s="5" t="s">
        <v>3</v>
      </c>
      <c r="B4" t="s">
        <v>21</v>
      </c>
      <c r="C4">
        <f>C1</f>
        <v>7389</v>
      </c>
      <c r="E4" t="s">
        <v>27</v>
      </c>
      <c r="F4" t="str">
        <f>IF((F$3="."),".",MID(IF($C4&gt;0,_xlfn.BASE($C4,2,16),_xlfn.BASE($C4+2^16,2,16)),16-F$3,1))</f>
        <v>0</v>
      </c>
      <c r="G4" t="str">
        <f t="shared" ref="G4:X15" si="0">IF((G$3="."),".",MID(IF($C4&gt;0,_xlfn.BASE($C4,2,16),_xlfn.BASE($C4+2^16,2,16)),16-G$3,1))</f>
        <v>0</v>
      </c>
      <c r="H4" t="str">
        <f t="shared" si="0"/>
        <v>0</v>
      </c>
      <c r="I4" t="str">
        <f t="shared" si="0"/>
        <v>1</v>
      </c>
      <c r="J4" t="str">
        <f t="shared" si="0"/>
        <v>.</v>
      </c>
      <c r="K4" t="str">
        <f t="shared" si="0"/>
        <v>1</v>
      </c>
      <c r="L4" t="str">
        <f t="shared" si="0"/>
        <v>1</v>
      </c>
      <c r="M4" t="str">
        <f t="shared" si="0"/>
        <v>0</v>
      </c>
      <c r="N4" t="str">
        <f t="shared" si="0"/>
        <v>0</v>
      </c>
      <c r="O4" t="str">
        <f t="shared" si="0"/>
        <v>.</v>
      </c>
      <c r="P4" t="str">
        <f t="shared" si="0"/>
        <v>1</v>
      </c>
      <c r="Q4" t="str">
        <f t="shared" si="0"/>
        <v>1</v>
      </c>
      <c r="R4" t="str">
        <f t="shared" si="0"/>
        <v>0</v>
      </c>
      <c r="S4" t="str">
        <f t="shared" si="0"/>
        <v>1</v>
      </c>
      <c r="T4" t="str">
        <f t="shared" si="0"/>
        <v>.</v>
      </c>
      <c r="U4" t="str">
        <f t="shared" si="0"/>
        <v>1</v>
      </c>
      <c r="V4" t="str">
        <f t="shared" si="0"/>
        <v>1</v>
      </c>
      <c r="W4" t="str">
        <f t="shared" si="0"/>
        <v>0</v>
      </c>
      <c r="X4" t="str">
        <f t="shared" si="0"/>
        <v>1</v>
      </c>
    </row>
    <row r="5" spans="1:24" ht="15.75" x14ac:dyDescent="0.25">
      <c r="A5" s="5" t="s">
        <v>4</v>
      </c>
      <c r="B5" t="s">
        <v>22</v>
      </c>
      <c r="C5">
        <f>C2</f>
        <v>17178</v>
      </c>
      <c r="E5" t="s">
        <v>28</v>
      </c>
      <c r="F5" t="str">
        <f t="shared" ref="F5:F15" si="1">IF((F$3="."),".",MID(IF($C5&gt;0,_xlfn.BASE($C5,2,16),_xlfn.BASE($C5+2^16,2,16)),16-F$3,1))</f>
        <v>0</v>
      </c>
      <c r="G5" t="str">
        <f t="shared" si="0"/>
        <v>1</v>
      </c>
      <c r="H5" t="str">
        <f t="shared" si="0"/>
        <v>0</v>
      </c>
      <c r="I5" t="str">
        <f t="shared" si="0"/>
        <v>0</v>
      </c>
      <c r="J5" t="str">
        <f t="shared" si="0"/>
        <v>.</v>
      </c>
      <c r="K5" t="str">
        <f t="shared" si="0"/>
        <v>0</v>
      </c>
      <c r="L5" t="str">
        <f t="shared" si="0"/>
        <v>0</v>
      </c>
      <c r="M5" t="str">
        <f t="shared" si="0"/>
        <v>1</v>
      </c>
      <c r="N5" t="str">
        <f t="shared" si="0"/>
        <v>1</v>
      </c>
      <c r="O5" t="str">
        <f t="shared" si="0"/>
        <v>.</v>
      </c>
      <c r="P5" t="str">
        <f t="shared" si="0"/>
        <v>0</v>
      </c>
      <c r="Q5" t="str">
        <f t="shared" si="0"/>
        <v>0</v>
      </c>
      <c r="R5" t="str">
        <f t="shared" si="0"/>
        <v>0</v>
      </c>
      <c r="S5" t="str">
        <f t="shared" si="0"/>
        <v>1</v>
      </c>
      <c r="T5" t="str">
        <f t="shared" si="0"/>
        <v>.</v>
      </c>
      <c r="U5" t="str">
        <f t="shared" si="0"/>
        <v>1</v>
      </c>
      <c r="V5" t="str">
        <f t="shared" si="0"/>
        <v>0</v>
      </c>
      <c r="W5" t="str">
        <f t="shared" si="0"/>
        <v>1</v>
      </c>
      <c r="X5" t="str">
        <f t="shared" si="0"/>
        <v>0</v>
      </c>
    </row>
    <row r="6" spans="1:24" ht="15.75" x14ac:dyDescent="0.25">
      <c r="A6" s="5" t="s">
        <v>5</v>
      </c>
      <c r="B6" t="s">
        <v>23</v>
      </c>
      <c r="C6">
        <f>C1+C2</f>
        <v>24567</v>
      </c>
      <c r="E6" t="s">
        <v>29</v>
      </c>
      <c r="F6" t="str">
        <f t="shared" si="1"/>
        <v>0</v>
      </c>
      <c r="G6" t="str">
        <f t="shared" si="0"/>
        <v>1</v>
      </c>
      <c r="H6" t="str">
        <f t="shared" si="0"/>
        <v>0</v>
      </c>
      <c r="I6" t="str">
        <f t="shared" si="0"/>
        <v>1</v>
      </c>
      <c r="J6" t="str">
        <f t="shared" si="0"/>
        <v>.</v>
      </c>
      <c r="K6" t="str">
        <f t="shared" si="0"/>
        <v>1</v>
      </c>
      <c r="L6" t="str">
        <f t="shared" si="0"/>
        <v>1</v>
      </c>
      <c r="M6" t="str">
        <f t="shared" si="0"/>
        <v>1</v>
      </c>
      <c r="N6" t="str">
        <f t="shared" si="0"/>
        <v>1</v>
      </c>
      <c r="O6" t="str">
        <f t="shared" si="0"/>
        <v>.</v>
      </c>
      <c r="P6" t="str">
        <f t="shared" si="0"/>
        <v>1</v>
      </c>
      <c r="Q6" t="str">
        <f t="shared" si="0"/>
        <v>1</v>
      </c>
      <c r="R6" t="str">
        <f t="shared" si="0"/>
        <v>1</v>
      </c>
      <c r="S6" t="str">
        <f t="shared" si="0"/>
        <v>1</v>
      </c>
      <c r="T6" t="str">
        <f t="shared" si="0"/>
        <v>.</v>
      </c>
      <c r="U6" t="str">
        <f t="shared" si="0"/>
        <v>0</v>
      </c>
      <c r="V6" t="str">
        <f t="shared" si="0"/>
        <v>1</v>
      </c>
      <c r="W6" t="str">
        <f t="shared" si="0"/>
        <v>1</v>
      </c>
      <c r="X6" t="str">
        <f t="shared" si="0"/>
        <v>1</v>
      </c>
    </row>
    <row r="7" spans="1:24" ht="15.75" x14ac:dyDescent="0.25">
      <c r="A7" s="5" t="s">
        <v>6</v>
      </c>
      <c r="B7" t="s">
        <v>24</v>
      </c>
      <c r="C7">
        <f>C1+C2+C2</f>
        <v>41745</v>
      </c>
      <c r="E7" t="s">
        <v>30</v>
      </c>
      <c r="F7" t="str">
        <f t="shared" si="1"/>
        <v>1</v>
      </c>
      <c r="G7" t="str">
        <f t="shared" si="0"/>
        <v>0</v>
      </c>
      <c r="H7" t="str">
        <f t="shared" si="0"/>
        <v>1</v>
      </c>
      <c r="I7" t="str">
        <f t="shared" si="0"/>
        <v>0</v>
      </c>
      <c r="J7" t="str">
        <f t="shared" si="0"/>
        <v>.</v>
      </c>
      <c r="K7" t="str">
        <f t="shared" si="0"/>
        <v>0</v>
      </c>
      <c r="L7" t="str">
        <f t="shared" si="0"/>
        <v>0</v>
      </c>
      <c r="M7" t="str">
        <f t="shared" si="0"/>
        <v>1</v>
      </c>
      <c r="N7" t="str">
        <f t="shared" si="0"/>
        <v>1</v>
      </c>
      <c r="O7" t="str">
        <f t="shared" si="0"/>
        <v>.</v>
      </c>
      <c r="P7" t="str">
        <f t="shared" si="0"/>
        <v>0</v>
      </c>
      <c r="Q7" t="str">
        <f t="shared" si="0"/>
        <v>0</v>
      </c>
      <c r="R7" t="str">
        <f t="shared" si="0"/>
        <v>0</v>
      </c>
      <c r="S7" t="str">
        <f t="shared" si="0"/>
        <v>1</v>
      </c>
      <c r="T7" t="str">
        <f t="shared" si="0"/>
        <v>.</v>
      </c>
      <c r="U7" t="str">
        <f t="shared" si="0"/>
        <v>0</v>
      </c>
      <c r="V7" t="str">
        <f t="shared" si="0"/>
        <v>0</v>
      </c>
      <c r="W7" t="str">
        <f t="shared" si="0"/>
        <v>0</v>
      </c>
      <c r="X7" t="str">
        <f t="shared" si="0"/>
        <v>1</v>
      </c>
    </row>
    <row r="8" spans="1:24" ht="15.75" x14ac:dyDescent="0.25">
      <c r="A8" s="5" t="s">
        <v>7</v>
      </c>
      <c r="B8" t="s">
        <v>25</v>
      </c>
      <c r="C8">
        <f>C2-C1</f>
        <v>9789</v>
      </c>
      <c r="E8" t="s">
        <v>31</v>
      </c>
      <c r="F8" t="str">
        <f t="shared" si="1"/>
        <v>0</v>
      </c>
      <c r="G8" t="str">
        <f t="shared" si="0"/>
        <v>0</v>
      </c>
      <c r="H8" t="str">
        <f t="shared" si="0"/>
        <v>1</v>
      </c>
      <c r="I8" t="str">
        <f t="shared" si="0"/>
        <v>0</v>
      </c>
      <c r="J8" t="str">
        <f t="shared" si="0"/>
        <v>.</v>
      </c>
      <c r="K8" t="str">
        <f t="shared" si="0"/>
        <v>0</v>
      </c>
      <c r="L8" t="str">
        <f t="shared" si="0"/>
        <v>1</v>
      </c>
      <c r="M8" t="str">
        <f t="shared" si="0"/>
        <v>1</v>
      </c>
      <c r="N8" t="str">
        <f t="shared" si="0"/>
        <v>0</v>
      </c>
      <c r="O8" t="str">
        <f t="shared" si="0"/>
        <v>.</v>
      </c>
      <c r="P8" t="str">
        <f t="shared" si="0"/>
        <v>0</v>
      </c>
      <c r="Q8" t="str">
        <f t="shared" si="0"/>
        <v>0</v>
      </c>
      <c r="R8" t="str">
        <f t="shared" si="0"/>
        <v>1</v>
      </c>
      <c r="S8" t="str">
        <f t="shared" si="0"/>
        <v>1</v>
      </c>
      <c r="T8" t="str">
        <f t="shared" si="0"/>
        <v>.</v>
      </c>
      <c r="U8" t="str">
        <f t="shared" si="0"/>
        <v>1</v>
      </c>
      <c r="V8" t="str">
        <f t="shared" si="0"/>
        <v>1</v>
      </c>
      <c r="W8" t="str">
        <f t="shared" si="0"/>
        <v>0</v>
      </c>
      <c r="X8" t="str">
        <f t="shared" si="0"/>
        <v>1</v>
      </c>
    </row>
    <row r="9" spans="1:24" ht="15.75" x14ac:dyDescent="0.25">
      <c r="A9" s="5" t="s">
        <v>8</v>
      </c>
      <c r="B9" t="s">
        <v>26</v>
      </c>
      <c r="C9">
        <f>65536-C7</f>
        <v>23791</v>
      </c>
      <c r="E9" t="s">
        <v>32</v>
      </c>
      <c r="F9" t="str">
        <f t="shared" si="1"/>
        <v>0</v>
      </c>
      <c r="G9" t="str">
        <f t="shared" si="0"/>
        <v>1</v>
      </c>
      <c r="H9" t="str">
        <f t="shared" si="0"/>
        <v>0</v>
      </c>
      <c r="I9" t="str">
        <f t="shared" si="0"/>
        <v>1</v>
      </c>
      <c r="J9" t="str">
        <f t="shared" si="0"/>
        <v>.</v>
      </c>
      <c r="K9" t="str">
        <f t="shared" si="0"/>
        <v>1</v>
      </c>
      <c r="L9" t="str">
        <f t="shared" si="0"/>
        <v>1</v>
      </c>
      <c r="M9" t="str">
        <f t="shared" si="0"/>
        <v>0</v>
      </c>
      <c r="N9" t="str">
        <f t="shared" si="0"/>
        <v>0</v>
      </c>
      <c r="O9" t="str">
        <f t="shared" si="0"/>
        <v>.</v>
      </c>
      <c r="P9" t="str">
        <f t="shared" si="0"/>
        <v>1</v>
      </c>
      <c r="Q9" t="str">
        <f t="shared" si="0"/>
        <v>1</v>
      </c>
      <c r="R9" t="str">
        <f t="shared" si="0"/>
        <v>1</v>
      </c>
      <c r="S9" t="str">
        <f t="shared" si="0"/>
        <v>0</v>
      </c>
      <c r="T9" t="str">
        <f t="shared" si="0"/>
        <v>.</v>
      </c>
      <c r="U9" t="str">
        <f t="shared" si="0"/>
        <v>1</v>
      </c>
      <c r="V9" t="str">
        <f t="shared" si="0"/>
        <v>1</v>
      </c>
      <c r="W9" t="str">
        <f t="shared" si="0"/>
        <v>1</v>
      </c>
      <c r="X9" t="str">
        <f t="shared" si="0"/>
        <v>1</v>
      </c>
    </row>
    <row r="10" spans="1:24" ht="15.75" x14ac:dyDescent="0.25">
      <c r="A10" s="5" t="s">
        <v>9</v>
      </c>
      <c r="B10" s="6" t="s">
        <v>15</v>
      </c>
      <c r="C10">
        <f>-C4</f>
        <v>-7389</v>
      </c>
      <c r="E10" t="s">
        <v>33</v>
      </c>
      <c r="F10" t="str">
        <f t="shared" si="1"/>
        <v>1</v>
      </c>
      <c r="G10" t="str">
        <f t="shared" si="0"/>
        <v>1</v>
      </c>
      <c r="H10" t="str">
        <f t="shared" si="0"/>
        <v>1</v>
      </c>
      <c r="I10" t="str">
        <f t="shared" si="0"/>
        <v>0</v>
      </c>
      <c r="J10" t="str">
        <f t="shared" si="0"/>
        <v>.</v>
      </c>
      <c r="K10" t="str">
        <f t="shared" si="0"/>
        <v>0</v>
      </c>
      <c r="L10" t="str">
        <f t="shared" si="0"/>
        <v>0</v>
      </c>
      <c r="M10" t="str">
        <f t="shared" si="0"/>
        <v>1</v>
      </c>
      <c r="N10" t="str">
        <f t="shared" si="0"/>
        <v>1</v>
      </c>
      <c r="O10" t="str">
        <f t="shared" si="0"/>
        <v>.</v>
      </c>
      <c r="P10" t="str">
        <f t="shared" si="0"/>
        <v>0</v>
      </c>
      <c r="Q10" t="str">
        <f t="shared" si="0"/>
        <v>0</v>
      </c>
      <c r="R10" t="str">
        <f t="shared" si="0"/>
        <v>1</v>
      </c>
      <c r="S10" t="str">
        <f t="shared" si="0"/>
        <v>0</v>
      </c>
      <c r="T10" t="str">
        <f t="shared" si="0"/>
        <v>.</v>
      </c>
      <c r="U10" t="str">
        <f t="shared" si="0"/>
        <v>0</v>
      </c>
      <c r="V10" t="str">
        <f t="shared" si="0"/>
        <v>0</v>
      </c>
      <c r="W10" t="str">
        <f t="shared" si="0"/>
        <v>1</v>
      </c>
      <c r="X10" t="str">
        <f t="shared" si="0"/>
        <v>1</v>
      </c>
    </row>
    <row r="11" spans="1:24" ht="15.75" x14ac:dyDescent="0.25">
      <c r="A11" s="5" t="s">
        <v>10</v>
      </c>
      <c r="B11" s="6" t="s">
        <v>16</v>
      </c>
      <c r="C11">
        <f t="shared" ref="C11:C15" si="2">-C5</f>
        <v>-17178</v>
      </c>
      <c r="E11" t="s">
        <v>34</v>
      </c>
      <c r="F11" t="str">
        <f t="shared" si="1"/>
        <v>1</v>
      </c>
      <c r="G11" t="str">
        <f t="shared" si="0"/>
        <v>0</v>
      </c>
      <c r="H11" t="str">
        <f t="shared" si="0"/>
        <v>1</v>
      </c>
      <c r="I11" t="str">
        <f t="shared" si="0"/>
        <v>1</v>
      </c>
      <c r="J11" t="str">
        <f t="shared" si="0"/>
        <v>.</v>
      </c>
      <c r="K11" t="str">
        <f t="shared" si="0"/>
        <v>1</v>
      </c>
      <c r="L11" t="str">
        <f t="shared" si="0"/>
        <v>1</v>
      </c>
      <c r="M11" t="str">
        <f t="shared" si="0"/>
        <v>0</v>
      </c>
      <c r="N11" t="str">
        <f t="shared" si="0"/>
        <v>0</v>
      </c>
      <c r="O11" t="str">
        <f t="shared" si="0"/>
        <v>.</v>
      </c>
      <c r="P11" t="str">
        <f t="shared" si="0"/>
        <v>1</v>
      </c>
      <c r="Q11" t="str">
        <f t="shared" si="0"/>
        <v>1</v>
      </c>
      <c r="R11" t="str">
        <f t="shared" si="0"/>
        <v>1</v>
      </c>
      <c r="S11" t="str">
        <f t="shared" si="0"/>
        <v>0</v>
      </c>
      <c r="T11" t="str">
        <f t="shared" si="0"/>
        <v>.</v>
      </c>
      <c r="U11" t="str">
        <f t="shared" si="0"/>
        <v>0</v>
      </c>
      <c r="V11" t="str">
        <f t="shared" si="0"/>
        <v>1</v>
      </c>
      <c r="W11" t="str">
        <f t="shared" si="0"/>
        <v>1</v>
      </c>
      <c r="X11" t="str">
        <f t="shared" si="0"/>
        <v>0</v>
      </c>
    </row>
    <row r="12" spans="1:24" ht="15.75" x14ac:dyDescent="0.25">
      <c r="A12" s="5" t="s">
        <v>11</v>
      </c>
      <c r="B12" s="6" t="s">
        <v>17</v>
      </c>
      <c r="C12">
        <f t="shared" si="2"/>
        <v>-24567</v>
      </c>
      <c r="E12" t="s">
        <v>35</v>
      </c>
      <c r="F12" t="str">
        <f t="shared" si="1"/>
        <v>1</v>
      </c>
      <c r="G12" t="str">
        <f t="shared" si="0"/>
        <v>0</v>
      </c>
      <c r="H12" t="str">
        <f t="shared" si="0"/>
        <v>1</v>
      </c>
      <c r="I12" t="str">
        <f t="shared" si="0"/>
        <v>0</v>
      </c>
      <c r="J12" t="str">
        <f t="shared" si="0"/>
        <v>.</v>
      </c>
      <c r="K12" t="str">
        <f t="shared" si="0"/>
        <v>0</v>
      </c>
      <c r="L12" t="str">
        <f t="shared" si="0"/>
        <v>0</v>
      </c>
      <c r="M12" t="str">
        <f t="shared" si="0"/>
        <v>0</v>
      </c>
      <c r="N12" t="str">
        <f t="shared" si="0"/>
        <v>0</v>
      </c>
      <c r="O12" t="str">
        <f t="shared" si="0"/>
        <v>.</v>
      </c>
      <c r="P12" t="str">
        <f t="shared" si="0"/>
        <v>0</v>
      </c>
      <c r="Q12" t="str">
        <f t="shared" si="0"/>
        <v>0</v>
      </c>
      <c r="R12" t="str">
        <f t="shared" si="0"/>
        <v>0</v>
      </c>
      <c r="S12" t="str">
        <f t="shared" si="0"/>
        <v>0</v>
      </c>
      <c r="T12" t="str">
        <f t="shared" si="0"/>
        <v>.</v>
      </c>
      <c r="U12" t="str">
        <f t="shared" si="0"/>
        <v>1</v>
      </c>
      <c r="V12" t="str">
        <f t="shared" si="0"/>
        <v>0</v>
      </c>
      <c r="W12" t="str">
        <f t="shared" si="0"/>
        <v>0</v>
      </c>
      <c r="X12" t="str">
        <f t="shared" si="0"/>
        <v>1</v>
      </c>
    </row>
    <row r="13" spans="1:24" ht="15.75" x14ac:dyDescent="0.25">
      <c r="A13" s="5" t="s">
        <v>12</v>
      </c>
      <c r="B13" s="6" t="s">
        <v>18</v>
      </c>
      <c r="C13">
        <f t="shared" si="2"/>
        <v>-41745</v>
      </c>
      <c r="E13" t="s">
        <v>36</v>
      </c>
      <c r="F13" t="str">
        <f t="shared" si="1"/>
        <v>0</v>
      </c>
      <c r="G13" t="str">
        <f t="shared" si="0"/>
        <v>1</v>
      </c>
      <c r="H13" t="str">
        <f t="shared" si="0"/>
        <v>0</v>
      </c>
      <c r="I13" t="str">
        <f t="shared" si="0"/>
        <v>1</v>
      </c>
      <c r="J13" t="str">
        <f t="shared" si="0"/>
        <v>.</v>
      </c>
      <c r="K13" t="str">
        <f t="shared" si="0"/>
        <v>1</v>
      </c>
      <c r="L13" t="str">
        <f t="shared" si="0"/>
        <v>1</v>
      </c>
      <c r="M13" t="str">
        <f t="shared" si="0"/>
        <v>0</v>
      </c>
      <c r="N13" t="str">
        <f t="shared" si="0"/>
        <v>0</v>
      </c>
      <c r="O13" t="str">
        <f t="shared" si="0"/>
        <v>.</v>
      </c>
      <c r="P13" t="str">
        <f t="shared" si="0"/>
        <v>1</v>
      </c>
      <c r="Q13" t="str">
        <f t="shared" si="0"/>
        <v>1</v>
      </c>
      <c r="R13" t="str">
        <f t="shared" si="0"/>
        <v>1</v>
      </c>
      <c r="S13" t="str">
        <f t="shared" si="0"/>
        <v>0</v>
      </c>
      <c r="T13" t="str">
        <f t="shared" si="0"/>
        <v>.</v>
      </c>
      <c r="U13" t="str">
        <f t="shared" si="0"/>
        <v>1</v>
      </c>
      <c r="V13" t="str">
        <f t="shared" si="0"/>
        <v>1</v>
      </c>
      <c r="W13" t="str">
        <f t="shared" si="0"/>
        <v>1</v>
      </c>
      <c r="X13" t="str">
        <f t="shared" si="0"/>
        <v>1</v>
      </c>
    </row>
    <row r="14" spans="1:24" ht="15.75" x14ac:dyDescent="0.25">
      <c r="A14" s="5" t="s">
        <v>13</v>
      </c>
      <c r="B14" s="6" t="s">
        <v>19</v>
      </c>
      <c r="C14">
        <f t="shared" si="2"/>
        <v>-9789</v>
      </c>
      <c r="E14" t="s">
        <v>37</v>
      </c>
      <c r="F14" t="str">
        <f t="shared" si="1"/>
        <v>1</v>
      </c>
      <c r="G14" t="str">
        <f t="shared" si="0"/>
        <v>1</v>
      </c>
      <c r="H14" t="str">
        <f t="shared" si="0"/>
        <v>0</v>
      </c>
      <c r="I14" t="str">
        <f t="shared" si="0"/>
        <v>1</v>
      </c>
      <c r="J14" t="str">
        <f t="shared" si="0"/>
        <v>.</v>
      </c>
      <c r="K14" t="str">
        <f t="shared" si="0"/>
        <v>1</v>
      </c>
      <c r="L14" t="str">
        <f t="shared" si="0"/>
        <v>0</v>
      </c>
      <c r="M14" t="str">
        <f t="shared" si="0"/>
        <v>0</v>
      </c>
      <c r="N14" t="str">
        <f t="shared" si="0"/>
        <v>1</v>
      </c>
      <c r="O14" t="str">
        <f t="shared" si="0"/>
        <v>.</v>
      </c>
      <c r="P14" t="str">
        <f t="shared" si="0"/>
        <v>1</v>
      </c>
      <c r="Q14" t="str">
        <f t="shared" si="0"/>
        <v>1</v>
      </c>
      <c r="R14" t="str">
        <f t="shared" si="0"/>
        <v>0</v>
      </c>
      <c r="S14" t="str">
        <f t="shared" si="0"/>
        <v>0</v>
      </c>
      <c r="T14" t="str">
        <f t="shared" si="0"/>
        <v>.</v>
      </c>
      <c r="U14" t="str">
        <f t="shared" si="0"/>
        <v>0</v>
      </c>
      <c r="V14" t="str">
        <f t="shared" si="0"/>
        <v>0</v>
      </c>
      <c r="W14" t="str">
        <f t="shared" si="0"/>
        <v>1</v>
      </c>
      <c r="X14" t="str">
        <f t="shared" si="0"/>
        <v>1</v>
      </c>
    </row>
    <row r="15" spans="1:24" ht="15.75" x14ac:dyDescent="0.25">
      <c r="A15" s="5" t="s">
        <v>14</v>
      </c>
      <c r="B15" s="6" t="s">
        <v>20</v>
      </c>
      <c r="C15">
        <f t="shared" si="2"/>
        <v>-23791</v>
      </c>
      <c r="E15" t="s">
        <v>38</v>
      </c>
      <c r="F15" t="str">
        <f t="shared" si="1"/>
        <v>1</v>
      </c>
      <c r="G15" t="str">
        <f t="shared" si="0"/>
        <v>0</v>
      </c>
      <c r="H15" t="str">
        <f t="shared" si="0"/>
        <v>1</v>
      </c>
      <c r="I15" t="str">
        <f t="shared" si="0"/>
        <v>0</v>
      </c>
      <c r="J15" t="str">
        <f t="shared" si="0"/>
        <v>.</v>
      </c>
      <c r="K15" t="str">
        <f t="shared" si="0"/>
        <v>0</v>
      </c>
      <c r="L15" t="str">
        <f t="shared" si="0"/>
        <v>0</v>
      </c>
      <c r="M15" t="str">
        <f t="shared" si="0"/>
        <v>1</v>
      </c>
      <c r="N15" t="str">
        <f t="shared" si="0"/>
        <v>1</v>
      </c>
      <c r="O15" t="str">
        <f t="shared" si="0"/>
        <v>.</v>
      </c>
      <c r="P15" t="str">
        <f t="shared" si="0"/>
        <v>0</v>
      </c>
      <c r="Q15" t="str">
        <f t="shared" si="0"/>
        <v>0</v>
      </c>
      <c r="R15" t="str">
        <f t="shared" si="0"/>
        <v>0</v>
      </c>
      <c r="S15" t="str">
        <f t="shared" si="0"/>
        <v>1</v>
      </c>
      <c r="T15" t="str">
        <f t="shared" si="0"/>
        <v>.</v>
      </c>
      <c r="U15" t="str">
        <f t="shared" si="0"/>
        <v>0</v>
      </c>
      <c r="V15" t="str">
        <f t="shared" si="0"/>
        <v>0</v>
      </c>
      <c r="W15" t="str">
        <f t="shared" si="0"/>
        <v>0</v>
      </c>
      <c r="X15" t="str">
        <f t="shared" si="0"/>
        <v>1</v>
      </c>
    </row>
    <row r="17" spans="3:29" x14ac:dyDescent="0.25">
      <c r="C17" t="s">
        <v>40</v>
      </c>
      <c r="F17" s="1">
        <f t="shared" ref="F17:R17" si="3">IF(G18=".",G17,IF((G19+G18+G17&gt;1),1,0))</f>
        <v>0</v>
      </c>
      <c r="G17" s="1">
        <f t="shared" si="3"/>
        <v>0</v>
      </c>
      <c r="H17" s="1">
        <f t="shared" si="3"/>
        <v>0</v>
      </c>
      <c r="I17" s="1">
        <f t="shared" si="3"/>
        <v>0</v>
      </c>
      <c r="J17" s="1">
        <f t="shared" si="3"/>
        <v>0</v>
      </c>
      <c r="K17" s="1">
        <f t="shared" si="3"/>
        <v>0</v>
      </c>
      <c r="L17" s="1">
        <f t="shared" si="3"/>
        <v>0</v>
      </c>
      <c r="M17" s="1">
        <f t="shared" si="3"/>
        <v>0</v>
      </c>
      <c r="N17" s="1">
        <f t="shared" si="3"/>
        <v>0</v>
      </c>
      <c r="O17" s="1">
        <f t="shared" si="3"/>
        <v>0</v>
      </c>
      <c r="P17" s="1">
        <f t="shared" si="3"/>
        <v>0</v>
      </c>
      <c r="Q17" s="1">
        <f t="shared" si="3"/>
        <v>0</v>
      </c>
      <c r="R17" s="1">
        <f t="shared" si="3"/>
        <v>1</v>
      </c>
      <c r="S17" s="1">
        <f>IF(T18=".",T17,IF((T19+T18+T17&gt;1),1,0))</f>
        <v>1</v>
      </c>
      <c r="T17" s="1">
        <f t="shared" ref="T17:X17" si="4">IF(U18=".",U17,IF((U19+U18+U17&gt;1),1,0))</f>
        <v>1</v>
      </c>
      <c r="U17" s="1">
        <f t="shared" si="4"/>
        <v>0</v>
      </c>
      <c r="V17" s="1">
        <f t="shared" si="4"/>
        <v>0</v>
      </c>
      <c r="W17" s="1">
        <f t="shared" si="4"/>
        <v>0</v>
      </c>
      <c r="X17" s="1">
        <f t="shared" si="4"/>
        <v>0</v>
      </c>
    </row>
    <row r="18" spans="3:29" x14ac:dyDescent="0.25">
      <c r="C18" t="s">
        <v>41</v>
      </c>
      <c r="F18" s="1" t="str">
        <f>F4</f>
        <v>0</v>
      </c>
      <c r="G18" s="1" t="str">
        <f t="shared" ref="G18:X18" si="5">G4</f>
        <v>0</v>
      </c>
      <c r="H18" s="1" t="str">
        <f t="shared" si="5"/>
        <v>0</v>
      </c>
      <c r="I18" s="1" t="str">
        <f t="shared" si="5"/>
        <v>1</v>
      </c>
      <c r="J18" s="1" t="str">
        <f t="shared" si="5"/>
        <v>.</v>
      </c>
      <c r="K18" s="1" t="str">
        <f t="shared" si="5"/>
        <v>1</v>
      </c>
      <c r="L18" s="1" t="str">
        <f t="shared" si="5"/>
        <v>1</v>
      </c>
      <c r="M18" s="1" t="str">
        <f t="shared" si="5"/>
        <v>0</v>
      </c>
      <c r="N18" s="1" t="str">
        <f t="shared" si="5"/>
        <v>0</v>
      </c>
      <c r="O18" s="1" t="str">
        <f t="shared" si="5"/>
        <v>.</v>
      </c>
      <c r="P18" s="1" t="str">
        <f t="shared" si="5"/>
        <v>1</v>
      </c>
      <c r="Q18" s="1" t="str">
        <f t="shared" si="5"/>
        <v>1</v>
      </c>
      <c r="R18" s="1" t="str">
        <f t="shared" si="5"/>
        <v>0</v>
      </c>
      <c r="S18" s="1" t="str">
        <f t="shared" si="5"/>
        <v>1</v>
      </c>
      <c r="T18" s="1" t="str">
        <f t="shared" si="5"/>
        <v>.</v>
      </c>
      <c r="U18" s="1" t="str">
        <f t="shared" si="5"/>
        <v>1</v>
      </c>
      <c r="V18" s="1" t="str">
        <f t="shared" si="5"/>
        <v>1</v>
      </c>
      <c r="W18" s="1" t="str">
        <f t="shared" si="5"/>
        <v>0</v>
      </c>
      <c r="X18" s="1" t="str">
        <f t="shared" si="5"/>
        <v>1</v>
      </c>
      <c r="AA18">
        <f>C4</f>
        <v>7389</v>
      </c>
      <c r="AC18" t="str">
        <f>IF(G23=1,IF(Q23=1,"Произошел перенос из старшего разряда и переполнение","Произошёл перенос из старшего разряда"),IF(Q23=1,"Произошло переполнение","все нормально"))</f>
        <v>все нормально</v>
      </c>
    </row>
    <row r="19" spans="3:29" x14ac:dyDescent="0.25">
      <c r="C19" s="6" t="s">
        <v>42</v>
      </c>
      <c r="F19" s="1" t="str">
        <f>F5</f>
        <v>0</v>
      </c>
      <c r="G19" s="1" t="str">
        <f t="shared" ref="G19:X19" si="6">G5</f>
        <v>1</v>
      </c>
      <c r="H19" s="1" t="str">
        <f t="shared" si="6"/>
        <v>0</v>
      </c>
      <c r="I19" s="1" t="str">
        <f t="shared" si="6"/>
        <v>0</v>
      </c>
      <c r="J19" s="1" t="str">
        <f t="shared" si="6"/>
        <v>.</v>
      </c>
      <c r="K19" s="1" t="str">
        <f t="shared" si="6"/>
        <v>0</v>
      </c>
      <c r="L19" s="1" t="str">
        <f t="shared" si="6"/>
        <v>0</v>
      </c>
      <c r="M19" s="1" t="str">
        <f t="shared" si="6"/>
        <v>1</v>
      </c>
      <c r="N19" s="1" t="str">
        <f t="shared" si="6"/>
        <v>1</v>
      </c>
      <c r="O19" s="1" t="str">
        <f t="shared" si="6"/>
        <v>.</v>
      </c>
      <c r="P19" s="1" t="str">
        <f t="shared" si="6"/>
        <v>0</v>
      </c>
      <c r="Q19" s="1" t="str">
        <f t="shared" si="6"/>
        <v>0</v>
      </c>
      <c r="R19" s="1" t="str">
        <f t="shared" si="6"/>
        <v>0</v>
      </c>
      <c r="S19" s="1" t="str">
        <f t="shared" si="6"/>
        <v>1</v>
      </c>
      <c r="T19" s="1" t="str">
        <f t="shared" si="6"/>
        <v>.</v>
      </c>
      <c r="U19" s="1" t="str">
        <f t="shared" si="6"/>
        <v>1</v>
      </c>
      <c r="V19" s="1" t="str">
        <f t="shared" si="6"/>
        <v>0</v>
      </c>
      <c r="W19" s="1" t="str">
        <f t="shared" si="6"/>
        <v>1</v>
      </c>
      <c r="X19" s="1" t="str">
        <f t="shared" si="6"/>
        <v>0</v>
      </c>
      <c r="Z19" s="9" t="s">
        <v>50</v>
      </c>
      <c r="AA19">
        <f>C5</f>
        <v>17178</v>
      </c>
    </row>
    <row r="20" spans="3:29" x14ac:dyDescent="0.25">
      <c r="F20" s="8" t="s">
        <v>43</v>
      </c>
      <c r="G20" s="8" t="s">
        <v>43</v>
      </c>
      <c r="H20" s="8" t="s">
        <v>43</v>
      </c>
      <c r="I20" s="8" t="s">
        <v>43</v>
      </c>
      <c r="J20" s="8" t="s">
        <v>43</v>
      </c>
      <c r="K20" s="8" t="s">
        <v>43</v>
      </c>
      <c r="L20" s="8" t="s">
        <v>43</v>
      </c>
      <c r="M20" s="8" t="s">
        <v>43</v>
      </c>
      <c r="N20" s="8" t="s">
        <v>43</v>
      </c>
      <c r="O20" s="8" t="s">
        <v>43</v>
      </c>
      <c r="P20" s="8" t="s">
        <v>43</v>
      </c>
      <c r="Q20" s="8" t="s">
        <v>43</v>
      </c>
      <c r="R20" s="8" t="s">
        <v>43</v>
      </c>
      <c r="S20" s="8" t="s">
        <v>43</v>
      </c>
      <c r="T20" s="8" t="s">
        <v>43</v>
      </c>
      <c r="U20" s="8" t="s">
        <v>43</v>
      </c>
      <c r="V20" s="8" t="s">
        <v>43</v>
      </c>
      <c r="W20" s="8" t="s">
        <v>43</v>
      </c>
      <c r="X20" s="8" t="s">
        <v>43</v>
      </c>
      <c r="Y20">
        <f>IF(F21=0,_xlfn.DECIMAL(F21&amp;G21&amp;H21&amp;I21&amp;K21&amp;L21&amp;M21&amp;N21&amp;P21&amp;Q21&amp;R21&amp;S21&amp;U21&amp;V21&amp;W21&amp;X21,2),-_xlfn.DECIMAL(G22&amp;H22&amp;I22&amp;K22&amp;L22&amp;M22&amp;N22&amp;P22&amp;Q22&amp;R22&amp;S22&amp;U22&amp;V22&amp;W22&amp;X22,2))</f>
        <v>24567</v>
      </c>
      <c r="AA20" s="8" t="s">
        <v>43</v>
      </c>
    </row>
    <row r="21" spans="3:29" x14ac:dyDescent="0.25">
      <c r="F21" s="1">
        <f t="shared" ref="F21:R21" si="7">IF(F19=".",".",IF(MOD(F19+F18+F17,2)=1,1,0))</f>
        <v>0</v>
      </c>
      <c r="G21" s="1">
        <f t="shared" si="7"/>
        <v>1</v>
      </c>
      <c r="H21" s="1">
        <f t="shared" si="7"/>
        <v>0</v>
      </c>
      <c r="I21" s="1">
        <f t="shared" si="7"/>
        <v>1</v>
      </c>
      <c r="J21" s="1" t="str">
        <f t="shared" si="7"/>
        <v>.</v>
      </c>
      <c r="K21" s="1">
        <f t="shared" si="7"/>
        <v>1</v>
      </c>
      <c r="L21" s="1">
        <f t="shared" si="7"/>
        <v>1</v>
      </c>
      <c r="M21" s="1">
        <f t="shared" si="7"/>
        <v>1</v>
      </c>
      <c r="N21" s="1">
        <f t="shared" si="7"/>
        <v>1</v>
      </c>
      <c r="O21" s="1" t="str">
        <f t="shared" si="7"/>
        <v>.</v>
      </c>
      <c r="P21" s="1">
        <f t="shared" si="7"/>
        <v>1</v>
      </c>
      <c r="Q21" s="1">
        <f t="shared" si="7"/>
        <v>1</v>
      </c>
      <c r="R21" s="1">
        <f t="shared" si="7"/>
        <v>1</v>
      </c>
      <c r="S21" s="1">
        <f>IF(S19=".",".",IF(MOD(S19+S18+S17,2)=1,1,0))</f>
        <v>1</v>
      </c>
      <c r="T21" s="1" t="str">
        <f t="shared" ref="T21:X21" si="8">IF(T19=".",".",IF(MOD(T19+T18+T17,2)=1,1,0))</f>
        <v>.</v>
      </c>
      <c r="U21" s="1">
        <f t="shared" si="8"/>
        <v>0</v>
      </c>
      <c r="V21" s="1">
        <f t="shared" si="8"/>
        <v>1</v>
      </c>
      <c r="W21" s="1">
        <f t="shared" si="8"/>
        <v>1</v>
      </c>
      <c r="X21" s="1">
        <f t="shared" si="8"/>
        <v>1</v>
      </c>
      <c r="Y21" s="1"/>
      <c r="AA21">
        <f>AA18+AA19</f>
        <v>24567</v>
      </c>
    </row>
    <row r="22" spans="3:29" x14ac:dyDescent="0.25">
      <c r="C22" t="s">
        <v>51</v>
      </c>
      <c r="F22" t="str">
        <f>IF($F21=1,IF(F21=".",".",IF((COUNTIF(G21:X21,"1")&gt;0),1-F21,F21)),"")</f>
        <v/>
      </c>
      <c r="G22" t="str">
        <f t="shared" ref="G22:X22" si="9">IF($F21=1,IF(G21=".",".",IF((COUNTIF(H21:Y21,"1")&gt;0),1-G21,G21)),"")</f>
        <v/>
      </c>
      <c r="H22" t="str">
        <f t="shared" si="9"/>
        <v/>
      </c>
      <c r="I22" t="str">
        <f t="shared" si="9"/>
        <v/>
      </c>
      <c r="J22" t="str">
        <f t="shared" si="9"/>
        <v/>
      </c>
      <c r="K22" t="str">
        <f t="shared" si="9"/>
        <v/>
      </c>
      <c r="L22" t="str">
        <f t="shared" si="9"/>
        <v/>
      </c>
      <c r="M22" t="str">
        <f t="shared" si="9"/>
        <v/>
      </c>
      <c r="N22" t="str">
        <f t="shared" si="9"/>
        <v/>
      </c>
      <c r="O22" t="str">
        <f t="shared" si="9"/>
        <v/>
      </c>
      <c r="P22" t="str">
        <f t="shared" si="9"/>
        <v/>
      </c>
      <c r="Q22" t="str">
        <f t="shared" si="9"/>
        <v/>
      </c>
      <c r="R22" t="str">
        <f t="shared" si="9"/>
        <v/>
      </c>
      <c r="S22" t="str">
        <f t="shared" si="9"/>
        <v/>
      </c>
      <c r="T22" t="str">
        <f t="shared" si="9"/>
        <v/>
      </c>
      <c r="U22" t="str">
        <f t="shared" si="9"/>
        <v/>
      </c>
      <c r="V22" t="str">
        <f t="shared" si="9"/>
        <v/>
      </c>
      <c r="W22" t="str">
        <f t="shared" si="9"/>
        <v/>
      </c>
      <c r="X22" t="str">
        <f t="shared" si="9"/>
        <v/>
      </c>
    </row>
    <row r="23" spans="3:29" x14ac:dyDescent="0.25">
      <c r="F23" t="s">
        <v>44</v>
      </c>
      <c r="G23" s="4">
        <f>F17</f>
        <v>0</v>
      </c>
      <c r="H23" t="s">
        <v>45</v>
      </c>
      <c r="I23" s="4">
        <f>IF(MOD(SUM(F21:X21),2)=0,1,0)</f>
        <v>0</v>
      </c>
      <c r="J23" t="s">
        <v>46</v>
      </c>
      <c r="K23" s="4">
        <f>T17</f>
        <v>1</v>
      </c>
      <c r="L23" t="s">
        <v>47</v>
      </c>
      <c r="M23" s="4">
        <f>IF(Y20=0,1,0)</f>
        <v>0</v>
      </c>
      <c r="N23" t="s">
        <v>48</v>
      </c>
      <c r="O23" s="4">
        <f>F21</f>
        <v>0</v>
      </c>
      <c r="P23" t="s">
        <v>49</v>
      </c>
      <c r="Q23" s="4">
        <f>IF(F17&lt;&gt;G17,1,0)</f>
        <v>0</v>
      </c>
    </row>
    <row r="25" spans="3:29" x14ac:dyDescent="0.25">
      <c r="C25" t="s">
        <v>40</v>
      </c>
      <c r="F25" s="1">
        <f t="shared" ref="F25:R25" si="10">IF(G26=".",G25,IF((G27+G26+G25&gt;1),1,0))</f>
        <v>1</v>
      </c>
      <c r="G25" s="1">
        <f t="shared" si="10"/>
        <v>0</v>
      </c>
      <c r="H25" s="1">
        <f t="shared" si="10"/>
        <v>1</v>
      </c>
      <c r="I25" s="1">
        <f t="shared" si="10"/>
        <v>1</v>
      </c>
      <c r="J25" s="1">
        <f t="shared" si="10"/>
        <v>1</v>
      </c>
      <c r="K25" s="1">
        <f t="shared" si="10"/>
        <v>1</v>
      </c>
      <c r="L25" s="1">
        <f t="shared" si="10"/>
        <v>1</v>
      </c>
      <c r="M25" s="1">
        <f t="shared" si="10"/>
        <v>1</v>
      </c>
      <c r="N25" s="1">
        <f t="shared" si="10"/>
        <v>1</v>
      </c>
      <c r="O25" s="1">
        <f t="shared" si="10"/>
        <v>1</v>
      </c>
      <c r="P25" s="1">
        <f t="shared" si="10"/>
        <v>1</v>
      </c>
      <c r="Q25" s="1">
        <f t="shared" si="10"/>
        <v>1</v>
      </c>
      <c r="R25" s="1">
        <f t="shared" si="10"/>
        <v>1</v>
      </c>
      <c r="S25" s="1">
        <f>IF(T26=".",T25,IF((T27+T26+T25&gt;1),1,0))</f>
        <v>1</v>
      </c>
      <c r="T25" s="1">
        <f t="shared" ref="T25:X25" si="11">IF(U26=".",U25,IF((U27+U26+U25&gt;1),1,0))</f>
        <v>1</v>
      </c>
      <c r="U25" s="1">
        <f t="shared" si="11"/>
        <v>1</v>
      </c>
      <c r="V25" s="1">
        <f t="shared" si="11"/>
        <v>1</v>
      </c>
      <c r="W25" s="1">
        <f t="shared" si="11"/>
        <v>0</v>
      </c>
      <c r="X25" s="1">
        <f t="shared" si="11"/>
        <v>0</v>
      </c>
    </row>
    <row r="26" spans="3:29" x14ac:dyDescent="0.25">
      <c r="C26" t="s">
        <v>52</v>
      </c>
      <c r="F26" s="1" t="str">
        <f>F5</f>
        <v>0</v>
      </c>
      <c r="G26" s="1" t="str">
        <f t="shared" ref="G26:X26" si="12">G5</f>
        <v>1</v>
      </c>
      <c r="H26" s="1" t="str">
        <f t="shared" si="12"/>
        <v>0</v>
      </c>
      <c r="I26" s="1" t="str">
        <f t="shared" si="12"/>
        <v>0</v>
      </c>
      <c r="J26" s="1" t="str">
        <f t="shared" si="12"/>
        <v>.</v>
      </c>
      <c r="K26" s="1" t="str">
        <f t="shared" si="12"/>
        <v>0</v>
      </c>
      <c r="L26" s="1" t="str">
        <f t="shared" si="12"/>
        <v>0</v>
      </c>
      <c r="M26" s="1" t="str">
        <f t="shared" si="12"/>
        <v>1</v>
      </c>
      <c r="N26" s="1" t="str">
        <f t="shared" si="12"/>
        <v>1</v>
      </c>
      <c r="O26" s="1" t="str">
        <f t="shared" si="12"/>
        <v>.</v>
      </c>
      <c r="P26" s="1" t="str">
        <f t="shared" si="12"/>
        <v>0</v>
      </c>
      <c r="Q26" s="1" t="str">
        <f t="shared" si="12"/>
        <v>0</v>
      </c>
      <c r="R26" s="1" t="str">
        <f t="shared" si="12"/>
        <v>0</v>
      </c>
      <c r="S26" s="1" t="str">
        <f t="shared" si="12"/>
        <v>1</v>
      </c>
      <c r="T26" s="1" t="str">
        <f t="shared" si="12"/>
        <v>.</v>
      </c>
      <c r="U26" s="1" t="str">
        <f t="shared" si="12"/>
        <v>1</v>
      </c>
      <c r="V26" s="1" t="str">
        <f t="shared" si="12"/>
        <v>0</v>
      </c>
      <c r="W26" s="1" t="str">
        <f t="shared" si="12"/>
        <v>1</v>
      </c>
      <c r="X26" s="1" t="str">
        <f t="shared" si="12"/>
        <v>0</v>
      </c>
      <c r="AA26">
        <f>C12</f>
        <v>-24567</v>
      </c>
      <c r="AC26" t="str">
        <f>IF(G31=1,IF(Q31=1,"Произошел перенос из старшего разряда и переполнение","Произошёл перенос из старшего разряда"),IF(Q31=1,"Произошло переполнение","все нормально"))</f>
        <v>Произошел перенос из старшего разряда и переполнение</v>
      </c>
    </row>
    <row r="27" spans="3:29" x14ac:dyDescent="0.25">
      <c r="C27" s="6" t="s">
        <v>53</v>
      </c>
      <c r="F27" s="1" t="str">
        <f>F6</f>
        <v>0</v>
      </c>
      <c r="G27" s="1" t="str">
        <f t="shared" ref="G27:X27" si="13">G6</f>
        <v>1</v>
      </c>
      <c r="H27" s="1" t="str">
        <f t="shared" si="13"/>
        <v>0</v>
      </c>
      <c r="I27" s="1" t="str">
        <f t="shared" si="13"/>
        <v>1</v>
      </c>
      <c r="J27" s="1" t="str">
        <f t="shared" si="13"/>
        <v>.</v>
      </c>
      <c r="K27" s="1" t="str">
        <f t="shared" si="13"/>
        <v>1</v>
      </c>
      <c r="L27" s="1" t="str">
        <f t="shared" si="13"/>
        <v>1</v>
      </c>
      <c r="M27" s="1" t="str">
        <f t="shared" si="13"/>
        <v>1</v>
      </c>
      <c r="N27" s="1" t="str">
        <f t="shared" si="13"/>
        <v>1</v>
      </c>
      <c r="O27" s="1" t="str">
        <f t="shared" si="13"/>
        <v>.</v>
      </c>
      <c r="P27" s="1" t="str">
        <f t="shared" si="13"/>
        <v>1</v>
      </c>
      <c r="Q27" s="1" t="str">
        <f t="shared" si="13"/>
        <v>1</v>
      </c>
      <c r="R27" s="1" t="str">
        <f t="shared" si="13"/>
        <v>1</v>
      </c>
      <c r="S27" s="1" t="str">
        <f t="shared" si="13"/>
        <v>1</v>
      </c>
      <c r="T27" s="1" t="str">
        <f t="shared" si="13"/>
        <v>.</v>
      </c>
      <c r="U27" s="1" t="str">
        <f t="shared" si="13"/>
        <v>0</v>
      </c>
      <c r="V27" s="1" t="str">
        <f t="shared" si="13"/>
        <v>1</v>
      </c>
      <c r="W27" s="1" t="str">
        <f t="shared" si="13"/>
        <v>1</v>
      </c>
      <c r="X27" s="1" t="str">
        <f t="shared" si="13"/>
        <v>1</v>
      </c>
      <c r="Z27" s="9" t="s">
        <v>50</v>
      </c>
      <c r="AA27">
        <f>C13</f>
        <v>-41745</v>
      </c>
    </row>
    <row r="28" spans="3:29" x14ac:dyDescent="0.25">
      <c r="F28" s="8" t="s">
        <v>43</v>
      </c>
      <c r="G28" s="8" t="s">
        <v>43</v>
      </c>
      <c r="H28" s="8" t="s">
        <v>43</v>
      </c>
      <c r="I28" s="8" t="s">
        <v>43</v>
      </c>
      <c r="J28" s="8" t="s">
        <v>43</v>
      </c>
      <c r="K28" s="8" t="s">
        <v>43</v>
      </c>
      <c r="L28" s="8" t="s">
        <v>43</v>
      </c>
      <c r="M28" s="8" t="s">
        <v>43</v>
      </c>
      <c r="N28" s="8" t="s">
        <v>43</v>
      </c>
      <c r="O28" s="8" t="s">
        <v>43</v>
      </c>
      <c r="P28" s="8" t="s">
        <v>43</v>
      </c>
      <c r="Q28" s="8" t="s">
        <v>43</v>
      </c>
      <c r="R28" s="8" t="s">
        <v>43</v>
      </c>
      <c r="S28" s="8" t="s">
        <v>43</v>
      </c>
      <c r="T28" s="8" t="s">
        <v>43</v>
      </c>
      <c r="U28" s="8" t="s">
        <v>43</v>
      </c>
      <c r="V28" s="8" t="s">
        <v>43</v>
      </c>
      <c r="W28" s="8" t="s">
        <v>43</v>
      </c>
      <c r="X28" s="8" t="s">
        <v>43</v>
      </c>
      <c r="Y28">
        <f>IF(F29=0,_xlfn.DECIMAL(F29&amp;G29&amp;H29&amp;I29&amp;K29&amp;L29&amp;M29&amp;N29&amp;P29&amp;Q29&amp;R29&amp;S29&amp;U29&amp;V29&amp;W29&amp;X29,2),-_xlfn.DECIMAL(G30&amp;H30&amp;I30&amp;K30&amp;L30&amp;M30&amp;N30&amp;P30&amp;Q30&amp;R30&amp;S30&amp;U30&amp;V30&amp;W30&amp;X30,2))</f>
        <v>-23791</v>
      </c>
      <c r="AA28" s="8" t="s">
        <v>43</v>
      </c>
    </row>
    <row r="29" spans="3:29" x14ac:dyDescent="0.25">
      <c r="F29" s="1">
        <f t="shared" ref="F29:R29" si="14">IF(F27=".",".",IF(MOD(F27+F26+F25,2)=1,1,0))</f>
        <v>1</v>
      </c>
      <c r="G29" s="1">
        <f t="shared" si="14"/>
        <v>0</v>
      </c>
      <c r="H29" s="1">
        <f t="shared" si="14"/>
        <v>1</v>
      </c>
      <c r="I29" s="1">
        <f t="shared" si="14"/>
        <v>0</v>
      </c>
      <c r="J29" s="1" t="str">
        <f t="shared" si="14"/>
        <v>.</v>
      </c>
      <c r="K29" s="1">
        <f t="shared" si="14"/>
        <v>0</v>
      </c>
      <c r="L29" s="1">
        <f t="shared" si="14"/>
        <v>0</v>
      </c>
      <c r="M29" s="1">
        <f t="shared" si="14"/>
        <v>1</v>
      </c>
      <c r="N29" s="1">
        <f t="shared" si="14"/>
        <v>1</v>
      </c>
      <c r="O29" s="1" t="str">
        <f t="shared" si="14"/>
        <v>.</v>
      </c>
      <c r="P29" s="1">
        <f t="shared" si="14"/>
        <v>0</v>
      </c>
      <c r="Q29" s="1">
        <f t="shared" si="14"/>
        <v>0</v>
      </c>
      <c r="R29" s="1">
        <f t="shared" si="14"/>
        <v>0</v>
      </c>
      <c r="S29" s="1">
        <f>IF(S27=".",".",IF(MOD(S27+S26+S25,2)=1,1,0))</f>
        <v>1</v>
      </c>
      <c r="T29" s="1" t="str">
        <f t="shared" ref="T29:X29" si="15">IF(T27=".",".",IF(MOD(T27+T26+T25,2)=1,1,0))</f>
        <v>.</v>
      </c>
      <c r="U29" s="1">
        <f t="shared" si="15"/>
        <v>0</v>
      </c>
      <c r="V29" s="1">
        <f t="shared" si="15"/>
        <v>0</v>
      </c>
      <c r="W29" s="1">
        <f t="shared" si="15"/>
        <v>0</v>
      </c>
      <c r="X29" s="1">
        <f t="shared" si="15"/>
        <v>1</v>
      </c>
      <c r="Y29" s="1"/>
      <c r="AA29">
        <f>AA26+AA27</f>
        <v>-66312</v>
      </c>
    </row>
    <row r="30" spans="3:29" x14ac:dyDescent="0.25">
      <c r="C30" t="s">
        <v>51</v>
      </c>
      <c r="F30">
        <f>IF($F29=1,IF(F29=".",".",IF((COUNTIF(G29:X29,"1")&gt;0),1-F29,F29)),"")</f>
        <v>0</v>
      </c>
      <c r="G30">
        <f t="shared" ref="G30" si="16">IF($F29=1,IF(G29=".",".",IF((COUNTIF(H29:Y29,"1")&gt;0),1-G29,G29)),"")</f>
        <v>1</v>
      </c>
      <c r="H30">
        <f t="shared" ref="H30" si="17">IF($F29=1,IF(H29=".",".",IF((COUNTIF(I29:Z29,"1")&gt;0),1-H29,H29)),"")</f>
        <v>0</v>
      </c>
      <c r="I30">
        <f t="shared" ref="I30" si="18">IF($F29=1,IF(I29=".",".",IF((COUNTIF(J29:AA29,"1")&gt;0),1-I29,I29)),"")</f>
        <v>1</v>
      </c>
      <c r="J30" t="str">
        <f t="shared" ref="J30" si="19">IF($F29=1,IF(J29=".",".",IF((COUNTIF(K29:AB29,"1")&gt;0),1-J29,J29)),"")</f>
        <v>.</v>
      </c>
      <c r="K30">
        <f t="shared" ref="K30" si="20">IF($F29=1,IF(K29=".",".",IF((COUNTIF(L29:AC29,"1")&gt;0),1-K29,K29)),"")</f>
        <v>1</v>
      </c>
      <c r="L30">
        <f t="shared" ref="L30" si="21">IF($F29=1,IF(L29=".",".",IF((COUNTIF(M29:AD29,"1")&gt;0),1-L29,L29)),"")</f>
        <v>1</v>
      </c>
      <c r="M30">
        <f t="shared" ref="M30" si="22">IF($F29=1,IF(M29=".",".",IF((COUNTIF(N29:AE29,"1")&gt;0),1-M29,M29)),"")</f>
        <v>0</v>
      </c>
      <c r="N30">
        <f t="shared" ref="N30" si="23">IF($F29=1,IF(N29=".",".",IF((COUNTIF(O29:AF29,"1")&gt;0),1-N29,N29)),"")</f>
        <v>0</v>
      </c>
      <c r="O30" t="str">
        <f t="shared" ref="O30" si="24">IF($F29=1,IF(O29=".",".",IF((COUNTIF(P29:AG29,"1")&gt;0),1-O29,O29)),"")</f>
        <v>.</v>
      </c>
      <c r="P30">
        <f t="shared" ref="P30" si="25">IF($F29=1,IF(P29=".",".",IF((COUNTIF(Q29:AH29,"1")&gt;0),1-P29,P29)),"")</f>
        <v>1</v>
      </c>
      <c r="Q30">
        <f t="shared" ref="Q30" si="26">IF($F29=1,IF(Q29=".",".",IF((COUNTIF(R29:AI29,"1")&gt;0),1-Q29,Q29)),"")</f>
        <v>1</v>
      </c>
      <c r="R30">
        <f t="shared" ref="R30" si="27">IF($F29=1,IF(R29=".",".",IF((COUNTIF(S29:AJ29,"1")&gt;0),1-R29,R29)),"")</f>
        <v>1</v>
      </c>
      <c r="S30">
        <f t="shared" ref="S30" si="28">IF($F29=1,IF(S29=".",".",IF((COUNTIF(T29:AK29,"1")&gt;0),1-S29,S29)),"")</f>
        <v>0</v>
      </c>
      <c r="T30" t="str">
        <f t="shared" ref="T30" si="29">IF($F29=1,IF(T29=".",".",IF((COUNTIF(U29:AL29,"1")&gt;0),1-T29,T29)),"")</f>
        <v>.</v>
      </c>
      <c r="U30">
        <f t="shared" ref="U30" si="30">IF($F29=1,IF(U29=".",".",IF((COUNTIF(V29:AM29,"1")&gt;0),1-U29,U29)),"")</f>
        <v>1</v>
      </c>
      <c r="V30">
        <f t="shared" ref="V30" si="31">IF($F29=1,IF(V29=".",".",IF((COUNTIF(W29:AN29,"1")&gt;0),1-V29,V29)),"")</f>
        <v>1</v>
      </c>
      <c r="W30">
        <f t="shared" ref="W30" si="32">IF($F29=1,IF(W29=".",".",IF((COUNTIF(X29:AO29,"1")&gt;0),1-W29,W29)),"")</f>
        <v>1</v>
      </c>
      <c r="X30">
        <f t="shared" ref="X30" si="33">IF($F29=1,IF(X29=".",".",IF((COUNTIF(Y29:AP29,"1")&gt;0),1-X29,X29)),"")</f>
        <v>1</v>
      </c>
    </row>
    <row r="31" spans="3:29" x14ac:dyDescent="0.25">
      <c r="F31" t="s">
        <v>44</v>
      </c>
      <c r="G31" s="4">
        <f>F25</f>
        <v>1</v>
      </c>
      <c r="H31" t="s">
        <v>45</v>
      </c>
      <c r="I31" s="4">
        <f>IF(MOD(SUM(F29:X29),2)=0,1,0)</f>
        <v>1</v>
      </c>
      <c r="J31" t="s">
        <v>46</v>
      </c>
      <c r="K31" s="4">
        <f>T25</f>
        <v>1</v>
      </c>
      <c r="L31" t="s">
        <v>47</v>
      </c>
      <c r="M31" s="4">
        <f>IF(Y28=0,1,0)</f>
        <v>0</v>
      </c>
      <c r="N31" t="s">
        <v>48</v>
      </c>
      <c r="O31" s="4">
        <f>F29</f>
        <v>1</v>
      </c>
      <c r="P31" t="s">
        <v>49</v>
      </c>
      <c r="Q31" s="4">
        <f>IF(F25&lt;&gt;G25,1,0)</f>
        <v>1</v>
      </c>
    </row>
  </sheetData>
  <mergeCells count="1">
    <mergeCell ref="D1:X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SmyZik SmyZik</dc:creator>
  <cp:lastModifiedBy>SmyZik SmyZik</cp:lastModifiedBy>
  <dcterms:created xsi:type="dcterms:W3CDTF">2015-06-05T18:19:34Z</dcterms:created>
  <dcterms:modified xsi:type="dcterms:W3CDTF">2025-12-13T00:10:49Z</dcterms:modified>
</cp:coreProperties>
</file>